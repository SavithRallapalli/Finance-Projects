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ithrallapalli/Downloads/Equity Research Report ASML Holding NV/Discounted Cash Flow Model/"/>
    </mc:Choice>
  </mc:AlternateContent>
  <xr:revisionPtr revIDLastSave="0" documentId="13_ncr:1_{52ACE953-187F-DF46-B327-4D651DFB5D69}" xr6:coauthVersionLast="47" xr6:coauthVersionMax="47" xr10:uidLastSave="{00000000-0000-0000-0000-000000000000}"/>
  <bookViews>
    <workbookView xWindow="4560" yWindow="620" windowWidth="23280" windowHeight="17380" activeTab="1" xr2:uid="{9B393432-66B5-3D45-BB77-9AB024B4C006}"/>
  </bookViews>
  <sheets>
    <sheet name="DCF" sheetId="1" r:id="rId1"/>
    <sheet name="WACC" sheetId="2" r:id="rId2"/>
    <sheet name="Financials" sheetId="3" r:id="rId3"/>
  </sheets>
  <definedNames>
    <definedName name="Name">DCF!#REF!</definedName>
    <definedName name="_xlnm.Print_Area" localSheetId="0">DCF!$A$1:$P$153</definedName>
    <definedName name="tgr">DCF!$D$19</definedName>
    <definedName name="wacc">DCF!$D$18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K77" i="1"/>
  <c r="K145" i="1"/>
  <c r="L145" i="1" s="1"/>
  <c r="J145" i="1"/>
  <c r="F145" i="1"/>
  <c r="G145" i="1"/>
  <c r="H145" i="1"/>
  <c r="I145" i="1"/>
  <c r="E145" i="1"/>
  <c r="F126" i="1"/>
  <c r="G126" i="1"/>
  <c r="H126" i="1"/>
  <c r="I126" i="1"/>
  <c r="E126" i="1"/>
  <c r="K133" i="1"/>
  <c r="L133" i="1"/>
  <c r="M133" i="1"/>
  <c r="N133" i="1"/>
  <c r="J133" i="1"/>
  <c r="M120" i="1"/>
  <c r="J120" i="1"/>
  <c r="J114" i="1"/>
  <c r="K114" i="1"/>
  <c r="L114" i="1"/>
  <c r="M114" i="1"/>
  <c r="N114" i="1"/>
  <c r="H120" i="1"/>
  <c r="F111" i="1"/>
  <c r="G111" i="1"/>
  <c r="H111" i="1"/>
  <c r="H128" i="1" s="1"/>
  <c r="I111" i="1"/>
  <c r="I128" i="1" s="1"/>
  <c r="F120" i="1"/>
  <c r="G120" i="1"/>
  <c r="I120" i="1"/>
  <c r="F114" i="1"/>
  <c r="G114" i="1"/>
  <c r="H114" i="1"/>
  <c r="I114" i="1"/>
  <c r="I138" i="1"/>
  <c r="I139" i="1" s="1"/>
  <c r="H138" i="1"/>
  <c r="H139" i="1" s="1"/>
  <c r="G138" i="1"/>
  <c r="G139" i="1" s="1"/>
  <c r="F138" i="1"/>
  <c r="F139" i="1" s="1"/>
  <c r="E138" i="1"/>
  <c r="E139" i="1" s="1"/>
  <c r="J141" i="1" s="1"/>
  <c r="J139" i="1" s="1"/>
  <c r="K141" i="1" s="1"/>
  <c r="K139" i="1" s="1"/>
  <c r="E132" i="1"/>
  <c r="E119" i="1"/>
  <c r="E120" i="1" s="1"/>
  <c r="E113" i="1"/>
  <c r="E114" i="1" s="1"/>
  <c r="J36" i="1"/>
  <c r="K120" i="1" l="1"/>
  <c r="M145" i="1"/>
  <c r="N145" i="1" s="1"/>
  <c r="L141" i="1"/>
  <c r="J126" i="1"/>
  <c r="K126" i="1" s="1"/>
  <c r="I130" i="1"/>
  <c r="I147" i="1" s="1"/>
  <c r="E111" i="1"/>
  <c r="G130" i="1"/>
  <c r="G147" i="1" s="1"/>
  <c r="E130" i="1"/>
  <c r="E147" i="1" s="1"/>
  <c r="H130" i="1"/>
  <c r="H147" i="1" s="1"/>
  <c r="F130" i="1"/>
  <c r="F147" i="1" s="1"/>
  <c r="F128" i="1"/>
  <c r="G128" i="1"/>
  <c r="F77" i="1"/>
  <c r="G77" i="1"/>
  <c r="H77" i="1"/>
  <c r="I77" i="1"/>
  <c r="E77" i="1"/>
  <c r="M23" i="1"/>
  <c r="G23" i="1"/>
  <c r="G21" i="1"/>
  <c r="L47" i="1"/>
  <c r="K47" i="1"/>
  <c r="J45" i="1"/>
  <c r="N36" i="1"/>
  <c r="J35" i="1"/>
  <c r="K36" i="1"/>
  <c r="F39" i="1"/>
  <c r="G39" i="1"/>
  <c r="H39" i="1"/>
  <c r="I39" i="1"/>
  <c r="E39" i="1"/>
  <c r="E40" i="1" s="1"/>
  <c r="L139" i="1" l="1"/>
  <c r="L120" i="1"/>
  <c r="M139" i="1"/>
  <c r="L126" i="1"/>
  <c r="M126" i="1" s="1"/>
  <c r="G149" i="1"/>
  <c r="G150" i="1" s="1"/>
  <c r="H149" i="1"/>
  <c r="H150" i="1" s="1"/>
  <c r="I149" i="1"/>
  <c r="I150" i="1" s="1"/>
  <c r="F149" i="1"/>
  <c r="E149" i="1"/>
  <c r="E150" i="1" s="1"/>
  <c r="E128" i="1"/>
  <c r="H40" i="1"/>
  <c r="H133" i="1"/>
  <c r="I40" i="1"/>
  <c r="I133" i="1"/>
  <c r="G40" i="1"/>
  <c r="G133" i="1"/>
  <c r="F40" i="1"/>
  <c r="F133" i="1"/>
  <c r="E133" i="1"/>
  <c r="J37" i="1"/>
  <c r="J34" i="1" s="1"/>
  <c r="N141" i="1" l="1"/>
  <c r="J135" i="1"/>
  <c r="N126" i="1"/>
  <c r="O126" i="1" s="1"/>
  <c r="G152" i="1"/>
  <c r="G153" i="1" s="1"/>
  <c r="H152" i="1"/>
  <c r="H153" i="1" s="1"/>
  <c r="I152" i="1"/>
  <c r="I153" i="1" s="1"/>
  <c r="F150" i="1"/>
  <c r="F152" i="1"/>
  <c r="F153" i="1" s="1"/>
  <c r="D12" i="2"/>
  <c r="D15" i="2"/>
  <c r="D16" i="2" s="1"/>
  <c r="F44" i="1"/>
  <c r="G44" i="1"/>
  <c r="H44" i="1"/>
  <c r="I44" i="1"/>
  <c r="E44" i="1"/>
  <c r="F50" i="1"/>
  <c r="G50" i="1"/>
  <c r="H50" i="1"/>
  <c r="I50" i="1"/>
  <c r="E50" i="1"/>
  <c r="F53" i="1"/>
  <c r="G53" i="1"/>
  <c r="H53" i="1"/>
  <c r="I53" i="1"/>
  <c r="E53" i="1"/>
  <c r="F59" i="1"/>
  <c r="G59" i="1"/>
  <c r="H59" i="1"/>
  <c r="I59" i="1"/>
  <c r="E59" i="1"/>
  <c r="F65" i="1"/>
  <c r="G65" i="1"/>
  <c r="H65" i="1"/>
  <c r="I65" i="1"/>
  <c r="E65" i="1"/>
  <c r="F68" i="1"/>
  <c r="G68" i="1"/>
  <c r="H68" i="1"/>
  <c r="I68" i="1"/>
  <c r="E68" i="1"/>
  <c r="F70" i="1"/>
  <c r="F71" i="1" s="1"/>
  <c r="G70" i="1"/>
  <c r="G71" i="1" s="1"/>
  <c r="H70" i="1"/>
  <c r="H71" i="1" s="1"/>
  <c r="I70" i="1"/>
  <c r="I71" i="1" s="1"/>
  <c r="E70" i="1"/>
  <c r="E74" i="1" s="1"/>
  <c r="G42" i="3"/>
  <c r="G41" i="3"/>
  <c r="G40" i="3"/>
  <c r="D8" i="2"/>
  <c r="N139" i="1" l="1"/>
  <c r="N120" i="1"/>
  <c r="J68" i="1"/>
  <c r="K68" i="1" s="1"/>
  <c r="L68" i="1" s="1"/>
  <c r="N61" i="1"/>
  <c r="J61" i="1"/>
  <c r="L61" i="1"/>
  <c r="K61" i="1"/>
  <c r="M61" i="1"/>
  <c r="N46" i="1"/>
  <c r="K46" i="1"/>
  <c r="K44" i="1" s="1"/>
  <c r="L46" i="1"/>
  <c r="L44" i="1" s="1"/>
  <c r="M46" i="1"/>
  <c r="M44" i="1" s="1"/>
  <c r="J46" i="1"/>
  <c r="J44" i="1" s="1"/>
  <c r="K55" i="1"/>
  <c r="L55" i="1"/>
  <c r="M55" i="1"/>
  <c r="N55" i="1"/>
  <c r="J55" i="1"/>
  <c r="I74" i="1"/>
  <c r="J33" i="1"/>
  <c r="H74" i="1"/>
  <c r="G74" i="1"/>
  <c r="F74" i="1"/>
  <c r="E71" i="1"/>
  <c r="D6" i="2"/>
  <c r="J18" i="1" s="1"/>
  <c r="G18" i="1" s="1"/>
  <c r="J144" i="1" l="1"/>
  <c r="J138" i="1"/>
  <c r="J119" i="1"/>
  <c r="J125" i="1"/>
  <c r="J113" i="1"/>
  <c r="J76" i="1"/>
  <c r="J86" i="1" s="1"/>
  <c r="J62" i="1"/>
  <c r="M18" i="1"/>
  <c r="M60" i="1"/>
  <c r="M62" i="1"/>
  <c r="M59" i="1" s="1"/>
  <c r="K62" i="1"/>
  <c r="K60" i="1"/>
  <c r="L62" i="1"/>
  <c r="L60" i="1"/>
  <c r="J60" i="1"/>
  <c r="N60" i="1"/>
  <c r="N62" i="1"/>
  <c r="N59" i="1" s="1"/>
  <c r="M68" i="1"/>
  <c r="N68" i="1" s="1"/>
  <c r="J67" i="1"/>
  <c r="J74" i="1"/>
  <c r="J83" i="1" s="1"/>
  <c r="N45" i="1"/>
  <c r="N47" i="1"/>
  <c r="J43" i="1"/>
  <c r="K37" i="1"/>
  <c r="K35" i="1"/>
  <c r="J111" i="1" l="1"/>
  <c r="K34" i="1"/>
  <c r="N44" i="1"/>
  <c r="K59" i="1"/>
  <c r="J59" i="1"/>
  <c r="J58" i="1" s="1"/>
  <c r="J85" i="1" s="1"/>
  <c r="L59" i="1"/>
  <c r="J39" i="1"/>
  <c r="K74" i="1"/>
  <c r="J40" i="1" l="1"/>
  <c r="J132" i="1"/>
  <c r="J130" i="1" s="1"/>
  <c r="J147" i="1" s="1"/>
  <c r="K83" i="1"/>
  <c r="L74" i="1"/>
  <c r="L83" i="1" s="1"/>
  <c r="K33" i="1"/>
  <c r="K144" i="1" l="1"/>
  <c r="K138" i="1"/>
  <c r="K119" i="1"/>
  <c r="K125" i="1"/>
  <c r="K113" i="1"/>
  <c r="K58" i="1"/>
  <c r="K85" i="1" s="1"/>
  <c r="K76" i="1"/>
  <c r="K86" i="1" s="1"/>
  <c r="K67" i="1"/>
  <c r="M74" i="1"/>
  <c r="M83" i="1" s="1"/>
  <c r="K43" i="1"/>
  <c r="L35" i="1"/>
  <c r="L34" i="1" s="1"/>
  <c r="K111" i="1" l="1"/>
  <c r="K128" i="1" s="1"/>
  <c r="K39" i="1"/>
  <c r="N74" i="1"/>
  <c r="N83" i="1" s="1"/>
  <c r="L33" i="1"/>
  <c r="L144" i="1" l="1"/>
  <c r="L138" i="1"/>
  <c r="K40" i="1"/>
  <c r="K132" i="1"/>
  <c r="K130" i="1" s="1"/>
  <c r="L119" i="1"/>
  <c r="L125" i="1"/>
  <c r="L113" i="1"/>
  <c r="L58" i="1"/>
  <c r="L85" i="1" s="1"/>
  <c r="L76" i="1"/>
  <c r="L86" i="1" s="1"/>
  <c r="L67" i="1"/>
  <c r="L43" i="1"/>
  <c r="M35" i="1"/>
  <c r="M34" i="1" s="1"/>
  <c r="K149" i="1" l="1"/>
  <c r="K150" i="1" s="1"/>
  <c r="K147" i="1"/>
  <c r="L111" i="1"/>
  <c r="L128" i="1" s="1"/>
  <c r="L39" i="1"/>
  <c r="M33" i="1"/>
  <c r="M152" i="1" s="1"/>
  <c r="M144" i="1" l="1"/>
  <c r="M138" i="1"/>
  <c r="L40" i="1"/>
  <c r="L132" i="1"/>
  <c r="L130" i="1" s="1"/>
  <c r="L147" i="1" s="1"/>
  <c r="M119" i="1"/>
  <c r="M125" i="1"/>
  <c r="M113" i="1"/>
  <c r="M58" i="1"/>
  <c r="M85" i="1" s="1"/>
  <c r="M76" i="1"/>
  <c r="M86" i="1" s="1"/>
  <c r="M67" i="1"/>
  <c r="M43" i="1"/>
  <c r="N35" i="1"/>
  <c r="L149" i="1" l="1"/>
  <c r="M111" i="1"/>
  <c r="N34" i="1"/>
  <c r="N33" i="1" s="1"/>
  <c r="M39" i="1"/>
  <c r="M128" i="1" l="1"/>
  <c r="L150" i="1"/>
  <c r="L152" i="1"/>
  <c r="L153" i="1" s="1"/>
  <c r="N144" i="1"/>
  <c r="N138" i="1"/>
  <c r="N125" i="1"/>
  <c r="M40" i="1"/>
  <c r="M132" i="1"/>
  <c r="M130" i="1" s="1"/>
  <c r="M147" i="1" s="1"/>
  <c r="N113" i="1"/>
  <c r="N119" i="1"/>
  <c r="N76" i="1"/>
  <c r="N86" i="1" s="1"/>
  <c r="N58" i="1"/>
  <c r="N85" i="1" s="1"/>
  <c r="N67" i="1"/>
  <c r="N43" i="1"/>
  <c r="N39" i="1" s="1"/>
  <c r="N53" i="1"/>
  <c r="N52" i="1" s="1"/>
  <c r="J53" i="1"/>
  <c r="J52" i="1" s="1"/>
  <c r="J49" i="1" s="1"/>
  <c r="J50" i="1" s="1"/>
  <c r="K53" i="1"/>
  <c r="K52" i="1" s="1"/>
  <c r="K64" i="1" s="1"/>
  <c r="L53" i="1"/>
  <c r="L52" i="1" s="1"/>
  <c r="M53" i="1"/>
  <c r="M52" i="1" s="1"/>
  <c r="M149" i="1" l="1"/>
  <c r="N40" i="1"/>
  <c r="N132" i="1"/>
  <c r="N130" i="1" s="1"/>
  <c r="N147" i="1" s="1"/>
  <c r="N111" i="1"/>
  <c r="J64" i="1"/>
  <c r="J65" i="1" s="1"/>
  <c r="L49" i="1"/>
  <c r="L50" i="1" s="1"/>
  <c r="L64" i="1"/>
  <c r="L82" i="1" s="1"/>
  <c r="L84" i="1" s="1"/>
  <c r="N49" i="1"/>
  <c r="N50" i="1" s="1"/>
  <c r="N64" i="1"/>
  <c r="N65" i="1" s="1"/>
  <c r="M64" i="1"/>
  <c r="M65" i="1" s="1"/>
  <c r="M49" i="1"/>
  <c r="M50" i="1" s="1"/>
  <c r="K65" i="1"/>
  <c r="K70" i="1"/>
  <c r="K82" i="1"/>
  <c r="K84" i="1" s="1"/>
  <c r="K49" i="1"/>
  <c r="K50" i="1" s="1"/>
  <c r="N149" i="1" l="1"/>
  <c r="N128" i="1"/>
  <c r="J82" i="1"/>
  <c r="J84" i="1" s="1"/>
  <c r="J70" i="1"/>
  <c r="J71" i="1" s="1"/>
  <c r="L70" i="1"/>
  <c r="L65" i="1"/>
  <c r="M82" i="1"/>
  <c r="M84" i="1" s="1"/>
  <c r="M70" i="1"/>
  <c r="N70" i="1"/>
  <c r="N82" i="1"/>
  <c r="N84" i="1" s="1"/>
  <c r="K71" i="1"/>
  <c r="K73" i="1"/>
  <c r="N150" i="1" l="1"/>
  <c r="N152" i="1"/>
  <c r="N153" i="1" s="1"/>
  <c r="J73" i="1"/>
  <c r="L73" i="1"/>
  <c r="L71" i="1"/>
  <c r="N71" i="1"/>
  <c r="N73" i="1"/>
  <c r="M71" i="1"/>
  <c r="M73" i="1"/>
  <c r="L87" i="1"/>
  <c r="L88" i="1" s="1"/>
  <c r="L94" i="1" s="1" a="1"/>
  <c r="L94" i="1" s="1"/>
  <c r="N87" i="1" l="1"/>
  <c r="N88" i="1" s="1"/>
  <c r="N96" i="1" s="1"/>
  <c r="N97" i="1" s="1"/>
  <c r="M150" i="1"/>
  <c r="J149" i="1"/>
  <c r="J128" i="1"/>
  <c r="N94" i="1" l="1" a="1"/>
  <c r="N94" i="1" s="1"/>
  <c r="M153" i="1"/>
  <c r="M87" i="1"/>
  <c r="M88" i="1" s="1"/>
  <c r="M94" i="1" s="1" a="1"/>
  <c r="M94" i="1" s="1"/>
  <c r="J152" i="1"/>
  <c r="K152" i="1"/>
  <c r="J150" i="1"/>
  <c r="K87" i="1" l="1"/>
  <c r="K88" i="1" s="1"/>
  <c r="K94" i="1" s="1" a="1"/>
  <c r="K94" i="1" s="1"/>
  <c r="K153" i="1"/>
  <c r="J87" i="1"/>
  <c r="J88" i="1" s="1"/>
  <c r="J94" i="1" s="1" a="1"/>
  <c r="J94" i="1" s="1"/>
  <c r="J153" i="1"/>
  <c r="N99" i="1" l="1"/>
  <c r="N102" i="1" s="1"/>
  <c r="N104" i="1" s="1"/>
  <c r="G8" i="1" s="1"/>
  <c r="G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<sst xmlns="http://schemas.openxmlformats.org/spreadsheetml/2006/main" count="234" uniqueCount="159">
  <si>
    <t>Discounted Cash Flow Model</t>
  </si>
  <si>
    <t>Overview</t>
  </si>
  <si>
    <t>Name</t>
  </si>
  <si>
    <t>ASML Holding N.V.</t>
  </si>
  <si>
    <t>Ticker</t>
  </si>
  <si>
    <t>ASML</t>
  </si>
  <si>
    <t>Market</t>
  </si>
  <si>
    <t>Euronext Amsterdam</t>
  </si>
  <si>
    <t>Date</t>
  </si>
  <si>
    <t>Price Per Share</t>
  </si>
  <si>
    <t>Valuation</t>
  </si>
  <si>
    <t>% delta vs current</t>
  </si>
  <si>
    <t>Assumptions</t>
  </si>
  <si>
    <t>Triggers</t>
  </si>
  <si>
    <t>Scenario</t>
  </si>
  <si>
    <t>Conservative Case</t>
  </si>
  <si>
    <t>Amount</t>
  </si>
  <si>
    <t>Base Case</t>
  </si>
  <si>
    <t>Optimistic Case</t>
  </si>
  <si>
    <t>Weighted Average Cost of Capital</t>
  </si>
  <si>
    <t>WACC = Ke*(E/E+D)+Kd*(D/E+D)*(1-tax)</t>
  </si>
  <si>
    <t>Ke = Rf + Beta*(Rm-Rf)</t>
  </si>
  <si>
    <t>CAPM</t>
  </si>
  <si>
    <t>Source</t>
  </si>
  <si>
    <t>Rf</t>
  </si>
  <si>
    <t>Euro Government Bond 10yr</t>
  </si>
  <si>
    <t>Beta</t>
  </si>
  <si>
    <t>Terms</t>
  </si>
  <si>
    <t>E</t>
  </si>
  <si>
    <t>D</t>
  </si>
  <si>
    <t>%E</t>
  </si>
  <si>
    <t>%D</t>
  </si>
  <si>
    <t>Rf-Rm (Market Equity Risk Premium)</t>
  </si>
  <si>
    <t>Kd</t>
  </si>
  <si>
    <t xml:space="preserve"> Share Price: € 960.30</t>
  </si>
  <si>
    <t>Financial Statement Information (2020-2024)</t>
  </si>
  <si>
    <t>A.</t>
  </si>
  <si>
    <t>Income Statement</t>
  </si>
  <si>
    <t>Revenue</t>
  </si>
  <si>
    <t>Gross Profit</t>
  </si>
  <si>
    <t>EBIT</t>
  </si>
  <si>
    <t>Net Income</t>
  </si>
  <si>
    <t>Net Interest</t>
  </si>
  <si>
    <t>Interest Expense</t>
  </si>
  <si>
    <t>EPS</t>
  </si>
  <si>
    <t>Basic</t>
  </si>
  <si>
    <t>Diluted</t>
  </si>
  <si>
    <t>B.</t>
  </si>
  <si>
    <t>Balance Sheet</t>
  </si>
  <si>
    <t>Total Assets</t>
  </si>
  <si>
    <t>Total Liabilities</t>
  </si>
  <si>
    <t>Total Equity</t>
  </si>
  <si>
    <t>Cash</t>
  </si>
  <si>
    <t>Debt</t>
  </si>
  <si>
    <t>Inventory</t>
  </si>
  <si>
    <t>Recievables</t>
  </si>
  <si>
    <t>PPE</t>
  </si>
  <si>
    <t>Goodwill</t>
  </si>
  <si>
    <t>C.</t>
  </si>
  <si>
    <t>Cash Flow Statement</t>
  </si>
  <si>
    <t>Operating Cash Flow</t>
  </si>
  <si>
    <t>Capital Expenditures</t>
  </si>
  <si>
    <t>Free Cash Flow</t>
  </si>
  <si>
    <t>D.</t>
  </si>
  <si>
    <t>Other Information</t>
  </si>
  <si>
    <t>Outstanding Shares</t>
  </si>
  <si>
    <t>EBITDA</t>
  </si>
  <si>
    <t>Share Price</t>
  </si>
  <si>
    <t>Enterprise Value</t>
  </si>
  <si>
    <t>Market Cap</t>
  </si>
  <si>
    <t>Sales Per Share</t>
  </si>
  <si>
    <t>ASML HOLDING N.V.</t>
  </si>
  <si>
    <t>Financial Ratios</t>
  </si>
  <si>
    <t>Profitability</t>
  </si>
  <si>
    <t>Gross Margin</t>
  </si>
  <si>
    <t>Operating Margin</t>
  </si>
  <si>
    <t>EBITDA Margin</t>
  </si>
  <si>
    <t>Net Profit Margin</t>
  </si>
  <si>
    <t>Leverage</t>
  </si>
  <si>
    <t>Debt/EBITDA</t>
  </si>
  <si>
    <t>Interest Coverage</t>
  </si>
  <si>
    <t>Cash Flow</t>
  </si>
  <si>
    <t>FCF Margin</t>
  </si>
  <si>
    <t>FCF Coverage</t>
  </si>
  <si>
    <t>P/E</t>
  </si>
  <si>
    <t>EV/EBITDA</t>
  </si>
  <si>
    <t>EV/EBIT</t>
  </si>
  <si>
    <t>P/S</t>
  </si>
  <si>
    <t>E.</t>
  </si>
  <si>
    <t>Growth</t>
  </si>
  <si>
    <t>Revenue Growth</t>
  </si>
  <si>
    <t>N/A</t>
  </si>
  <si>
    <t>EBITDA Growth</t>
  </si>
  <si>
    <t>EPS Growth</t>
  </si>
  <si>
    <t>Taxes</t>
  </si>
  <si>
    <t>D&amp;A</t>
  </si>
  <si>
    <t xml:space="preserve">Tax Rate </t>
  </si>
  <si>
    <t>FY24 Annual Rate</t>
  </si>
  <si>
    <t>Financials</t>
  </si>
  <si>
    <t>WACC</t>
  </si>
  <si>
    <t>TGR</t>
  </si>
  <si>
    <t>% growth</t>
  </si>
  <si>
    <t>Conservative</t>
  </si>
  <si>
    <t>Base</t>
  </si>
  <si>
    <t>Optimistic</t>
  </si>
  <si>
    <t>COGS</t>
  </si>
  <si>
    <t>%margin</t>
  </si>
  <si>
    <t>OPEX</t>
  </si>
  <si>
    <t>% sales</t>
  </si>
  <si>
    <t>% margin</t>
  </si>
  <si>
    <t xml:space="preserve">Base </t>
  </si>
  <si>
    <t>Interest</t>
  </si>
  <si>
    <t>Taxable Income (EBT)</t>
  </si>
  <si>
    <t>% tax rate</t>
  </si>
  <si>
    <t>Discounted Cash Flow</t>
  </si>
  <si>
    <t>(1-Tax)</t>
  </si>
  <si>
    <t>NOPAT</t>
  </si>
  <si>
    <t>D&amp;A (+)</t>
  </si>
  <si>
    <t>CAPEX (-)</t>
  </si>
  <si>
    <t>Change in WC (-)</t>
  </si>
  <si>
    <t>Mid Year Discount Period</t>
  </si>
  <si>
    <t>Discount Period</t>
  </si>
  <si>
    <t>Terminal Value</t>
  </si>
  <si>
    <t>Cash (+)</t>
  </si>
  <si>
    <t>Debt(-)</t>
  </si>
  <si>
    <t xml:space="preserve">Equity Value </t>
  </si>
  <si>
    <t>No. Of Shares</t>
  </si>
  <si>
    <t>Discounted TV</t>
  </si>
  <si>
    <t>Actuals</t>
  </si>
  <si>
    <t>Projections</t>
  </si>
  <si>
    <t>Discounted Free Cash Flows</t>
  </si>
  <si>
    <t>Damodaran Netherlands Dec '25</t>
  </si>
  <si>
    <t>YahooFinance 5Y Monthly + Bloomberg Mean Reversion Adjustment</t>
  </si>
  <si>
    <t>Change in WC</t>
  </si>
  <si>
    <t>tgr</t>
  </si>
  <si>
    <t>% revenue growth</t>
  </si>
  <si>
    <t>% gross profit margin</t>
  </si>
  <si>
    <t>% EBITDA margin</t>
  </si>
  <si>
    <t>% D&amp;A of sales</t>
  </si>
  <si>
    <t>%revenue growth</t>
  </si>
  <si>
    <t>%gross profit margin</t>
  </si>
  <si>
    <t>Working Capital</t>
  </si>
  <si>
    <t xml:space="preserve">WC </t>
  </si>
  <si>
    <t>%sales</t>
  </si>
  <si>
    <t>% revenue</t>
  </si>
  <si>
    <t>% COGS</t>
  </si>
  <si>
    <t>Recievables (+)</t>
  </si>
  <si>
    <t>Inventory (+)</t>
  </si>
  <si>
    <t>Other (+)</t>
  </si>
  <si>
    <t>Advances (+)</t>
  </si>
  <si>
    <t>Payables (+)</t>
  </si>
  <si>
    <t>Total Current Liabilities (+)</t>
  </si>
  <si>
    <t>Total Current Assets</t>
  </si>
  <si>
    <t xml:space="preserve">CL %sales </t>
  </si>
  <si>
    <t xml:space="preserve"> CA %sales</t>
  </si>
  <si>
    <t>% Recievables of sales</t>
  </si>
  <si>
    <t>% Inventory of sales</t>
  </si>
  <si>
    <t>% Payables of COGS</t>
  </si>
  <si>
    <t>% Advances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</si>
</sst>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₹&quot;* #,##0.00_);_(&quot;₹&quot;* \(#,##0.00\);_(&quot;₹&quot;* &quot;-&quot;??_);_(@_)"/>
    <numFmt numFmtId="164" formatCode="_([$€-2]\ * #,##0.00_);_([$€-2]\ * \(#,##0.00\);_([$€-2]\ * &quot;-&quot;??_);_(@_)"/>
    <numFmt numFmtId="165" formatCode="0.0000%"/>
    <numFmt numFmtId="166" formatCode="_([$€-2]\ * #,##0_);_([$€-2]\ * \(#,##0\);_([$€-2]\ * &quot;-&quot;??_);_(@_)"/>
    <numFmt numFmtId="167" formatCode="_([$€-2]\ * #,##0.0_);_([$€-2]\ * \(#,##0.0\);_([$€-2]\ * &quot;-&quot;??_);_(@_)"/>
    <numFmt numFmtId="168" formatCode="#,##0;\(#,##0\);&quot;--&quot;"/>
    <numFmt numFmtId="169" formatCode="[$€-413]\ #,##0"/>
    <numFmt numFmtId="170" formatCode="0.000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0"/>
      <name val="Aptos Narrow"/>
      <scheme val="minor"/>
    </font>
    <font>
      <sz val="12"/>
      <color theme="0"/>
      <name val="Aptos Narrow (Body)"/>
    </font>
    <font>
      <i/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 (Body)"/>
    </font>
    <font>
      <sz val="12"/>
      <color rgb="FF000000"/>
      <name val="Calibri"/>
      <family val="2"/>
    </font>
    <font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02FA63"/>
      <name val="Aptos Narrow"/>
      <family val="2"/>
      <scheme val="minor"/>
    </font>
    <font>
      <sz val="12"/>
      <color rgb="FF02FA63"/>
      <name val="Aptos Narrow"/>
      <scheme val="minor"/>
    </font>
    <font>
      <sz val="12"/>
      <color rgb="FF02FA6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89">
    <xf numFmtId="0" fontId="0" fillId="0" borderId="0" xfId="0"/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9" fontId="0" fillId="0" borderId="2" xfId="2" applyFont="1" applyBorder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10" fontId="0" fillId="0" borderId="0" xfId="2" applyNumberFormat="1" applyFont="1"/>
    <xf numFmtId="166" fontId="0" fillId="0" borderId="2" xfId="0" applyNumberFormat="1" applyBorder="1"/>
    <xf numFmtId="0" fontId="0" fillId="0" borderId="2" xfId="0" applyBorder="1" applyAlignment="1">
      <alignment horizontal="right" vertical="center"/>
    </xf>
    <xf numFmtId="164" fontId="11" fillId="0" borderId="2" xfId="0" applyNumberFormat="1" applyFont="1" applyBorder="1"/>
    <xf numFmtId="0" fontId="0" fillId="0" borderId="2" xfId="0" applyBorder="1" applyAlignment="1">
      <alignment horizontal="center" vertical="center"/>
    </xf>
    <xf numFmtId="166" fontId="0" fillId="0" borderId="2" xfId="1" applyNumberFormat="1" applyFont="1" applyBorder="1"/>
    <xf numFmtId="166" fontId="0" fillId="0" borderId="2" xfId="1" applyNumberFormat="1" applyFont="1" applyFill="1" applyBorder="1"/>
    <xf numFmtId="164" fontId="0" fillId="0" borderId="2" xfId="1" applyNumberFormat="1" applyFont="1" applyBorder="1"/>
    <xf numFmtId="1" fontId="0" fillId="0" borderId="2" xfId="0" applyNumberFormat="1" applyBorder="1"/>
    <xf numFmtId="167" fontId="0" fillId="0" borderId="2" xfId="0" applyNumberFormat="1" applyBorder="1"/>
    <xf numFmtId="0" fontId="13" fillId="0" borderId="2" xfId="0" applyFont="1" applyBorder="1"/>
    <xf numFmtId="166" fontId="0" fillId="0" borderId="0" xfId="1" applyNumberFormat="1" applyFont="1"/>
    <xf numFmtId="10" fontId="0" fillId="2" borderId="1" xfId="3" applyNumberFormat="1" applyFont="1"/>
    <xf numFmtId="10" fontId="0" fillId="2" borderId="1" xfId="2" applyNumberFormat="1" applyFont="1" applyFill="1" applyBorder="1"/>
    <xf numFmtId="0" fontId="3" fillId="0" borderId="0" xfId="0" applyFont="1"/>
    <xf numFmtId="0" fontId="2" fillId="0" borderId="0" xfId="0" applyFont="1"/>
    <xf numFmtId="0" fontId="0" fillId="4" borderId="0" xfId="0" applyFill="1" applyAlignment="1">
      <alignment horizontal="center"/>
    </xf>
    <xf numFmtId="0" fontId="0" fillId="6" borderId="0" xfId="0" applyFill="1"/>
    <xf numFmtId="0" fontId="0" fillId="5" borderId="0" xfId="0" applyFill="1" applyAlignment="1">
      <alignment horizontal="center"/>
    </xf>
    <xf numFmtId="0" fontId="0" fillId="5" borderId="3" xfId="0" applyFill="1" applyBorder="1"/>
    <xf numFmtId="0" fontId="0" fillId="4" borderId="3" xfId="0" applyFill="1" applyBorder="1"/>
    <xf numFmtId="0" fontId="0" fillId="5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8" fontId="0" fillId="0" borderId="0" xfId="0" applyNumberFormat="1"/>
    <xf numFmtId="9" fontId="0" fillId="0" borderId="0" xfId="2" applyFont="1" applyBorder="1"/>
    <xf numFmtId="0" fontId="5" fillId="3" borderId="0" xfId="0" applyFont="1" applyFill="1"/>
    <xf numFmtId="0" fontId="0" fillId="3" borderId="3" xfId="0" applyFill="1" applyBorder="1"/>
    <xf numFmtId="0" fontId="5" fillId="3" borderId="3" xfId="0" applyFont="1" applyFill="1" applyBorder="1"/>
    <xf numFmtId="0" fontId="9" fillId="8" borderId="2" xfId="0" applyFont="1" applyFill="1" applyBorder="1"/>
    <xf numFmtId="0" fontId="9" fillId="3" borderId="2" xfId="0" applyFont="1" applyFill="1" applyBorder="1"/>
    <xf numFmtId="0" fontId="2" fillId="8" borderId="2" xfId="0" applyFont="1" applyFill="1" applyBorder="1"/>
    <xf numFmtId="0" fontId="12" fillId="8" borderId="2" xfId="0" applyFont="1" applyFill="1" applyBorder="1"/>
    <xf numFmtId="0" fontId="13" fillId="8" borderId="2" xfId="0" applyFont="1" applyFill="1" applyBorder="1"/>
    <xf numFmtId="0" fontId="2" fillId="3" borderId="2" xfId="0" applyFont="1" applyFill="1" applyBorder="1"/>
    <xf numFmtId="0" fontId="5" fillId="3" borderId="2" xfId="0" applyFont="1" applyFill="1" applyBorder="1"/>
    <xf numFmtId="0" fontId="0" fillId="3" borderId="2" xfId="0" applyFill="1" applyBorder="1"/>
    <xf numFmtId="1" fontId="2" fillId="3" borderId="2" xfId="0" applyNumberFormat="1" applyFont="1" applyFill="1" applyBorder="1"/>
    <xf numFmtId="164" fontId="5" fillId="3" borderId="0" xfId="0" applyNumberFormat="1" applyFont="1" applyFill="1"/>
    <xf numFmtId="14" fontId="2" fillId="3" borderId="0" xfId="0" applyNumberFormat="1" applyFont="1" applyFill="1"/>
    <xf numFmtId="164" fontId="2" fillId="3" borderId="0" xfId="0" applyNumberFormat="1" applyFont="1" applyFill="1"/>
    <xf numFmtId="165" fontId="0" fillId="0" borderId="0" xfId="2" applyNumberFormat="1" applyFont="1" applyBorder="1"/>
    <xf numFmtId="10" fontId="0" fillId="0" borderId="0" xfId="2" applyNumberFormat="1" applyFont="1" applyBorder="1"/>
    <xf numFmtId="2" fontId="0" fillId="0" borderId="0" xfId="2" applyNumberFormat="1" applyFont="1" applyBorder="1"/>
    <xf numFmtId="166" fontId="0" fillId="0" borderId="0" xfId="0" applyNumberFormat="1"/>
    <xf numFmtId="9" fontId="0" fillId="0" borderId="0" xfId="0" applyNumberFormat="1"/>
    <xf numFmtId="169" fontId="0" fillId="0" borderId="0" xfId="0" applyNumberFormat="1"/>
    <xf numFmtId="164" fontId="0" fillId="0" borderId="0" xfId="0" applyNumberFormat="1"/>
    <xf numFmtId="10" fontId="0" fillId="0" borderId="0" xfId="2" applyNumberFormat="1" applyFont="1" applyFill="1" applyBorder="1"/>
    <xf numFmtId="9" fontId="0" fillId="2" borderId="1" xfId="3" applyNumberFormat="1" applyFont="1"/>
    <xf numFmtId="9" fontId="0" fillId="0" borderId="0" xfId="2" applyFont="1"/>
    <xf numFmtId="9" fontId="0" fillId="2" borderId="1" xfId="2" applyFont="1" applyFill="1" applyBorder="1"/>
    <xf numFmtId="9" fontId="14" fillId="2" borderId="1" xfId="3" applyNumberFormat="1" applyFont="1"/>
    <xf numFmtId="9" fontId="0" fillId="0" borderId="0" xfId="2" applyFont="1" applyFill="1" applyBorder="1"/>
    <xf numFmtId="9" fontId="14" fillId="2" borderId="1" xfId="2" applyFont="1" applyFill="1" applyBorder="1"/>
    <xf numFmtId="0" fontId="13" fillId="0" borderId="0" xfId="0" applyFont="1"/>
    <xf numFmtId="10" fontId="13" fillId="2" borderId="1" xfId="3" applyNumberFormat="1" applyFont="1"/>
    <xf numFmtId="9" fontId="14" fillId="0" borderId="0" xfId="2" applyFont="1"/>
    <xf numFmtId="10" fontId="14" fillId="2" borderId="1" xfId="3" applyNumberFormat="1" applyFont="1"/>
    <xf numFmtId="9" fontId="14" fillId="7" borderId="1" xfId="0" applyNumberFormat="1" applyFont="1" applyFill="1" applyBorder="1"/>
    <xf numFmtId="166" fontId="15" fillId="0" borderId="0" xfId="0" applyNumberFormat="1" applyFont="1"/>
    <xf numFmtId="166" fontId="15" fillId="0" borderId="0" xfId="1" applyNumberFormat="1" applyFont="1" applyBorder="1"/>
    <xf numFmtId="164" fontId="15" fillId="0" borderId="0" xfId="1" applyNumberFormat="1" applyFont="1" applyBorder="1"/>
    <xf numFmtId="0" fontId="15" fillId="0" borderId="0" xfId="0" applyFont="1"/>
    <xf numFmtId="10" fontId="1" fillId="2" borderId="1" xfId="2" applyNumberFormat="1" applyFont="1" applyFill="1" applyBorder="1"/>
    <xf numFmtId="0" fontId="0" fillId="0" borderId="4" xfId="0" applyBorder="1"/>
    <xf numFmtId="0" fontId="0" fillId="9" borderId="0" xfId="0" applyFill="1"/>
    <xf numFmtId="0" fontId="2" fillId="9" borderId="0" xfId="0" applyFont="1" applyFill="1"/>
    <xf numFmtId="0" fontId="0" fillId="0" borderId="0" xfId="0" applyAlignment="1">
      <alignment horizontal="center"/>
    </xf>
    <xf numFmtId="164" fontId="15" fillId="0" borderId="0" xfId="0" applyNumberFormat="1" applyFont="1"/>
    <xf numFmtId="164" fontId="16" fillId="0" borderId="0" xfId="0" applyNumberFormat="1" applyFont="1"/>
    <xf numFmtId="164" fontId="17" fillId="0" borderId="0" xfId="0" applyNumberFormat="1" applyFont="1"/>
    <xf numFmtId="170" fontId="0" fillId="0" borderId="0" xfId="2" applyNumberFormat="1" applyFont="1"/>
    <xf numFmtId="9" fontId="1" fillId="2" borderId="1" xfId="3" applyNumberFormat="1" applyFont="1"/>
    <xf numFmtId="166" fontId="14" fillId="0" borderId="0" xfId="0" applyNumberFormat="1" applyFont="1"/>
    <xf numFmtId="0" fontId="0" fillId="0" borderId="2" xfId="0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0" xfId="0" applyNumberFormat="1" applyBorder="1"/>
  </cellXfs>
  <cellStyles count="4">
    <cellStyle name="Currency" xfId="1" builtinId="4"/>
    <cellStyle name="Normal" xfId="0" builtinId="0"/>
    <cellStyle name="Note" xfId="3" builtinId="10"/>
    <cellStyle name="Per cent" xfId="2" builtinId="5"/>
  </cellStyles>
  <dxfs count="0"/>
  <tableStyles count="0" defaultTableStyle="TableStyleMedium2" defaultPivotStyle="PivotStyleLight16"/>
  <colors>
    <mruColors>
      <color rgb="FF02F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9795-1826-4E4E-9ED8-40769B80FE90}">
  <sheetPr>
    <tabColor theme="3" tint="0.749992370372631"/>
  </sheetPr>
  <dimension ref="C1:P162"/>
  <sheetViews>
    <sheetView view="pageBreakPreview" topLeftCell="I33" zoomScale="90" zoomScaleNormal="21" zoomScaleSheetLayoutView="75" workbookViewId="0">
      <selection activeCell="D28" sqref="D28"/>
    </sheetView>
  </sheetViews>
  <sheetFormatPr baseColWidth="10" defaultRowHeight="16" x14ac:dyDescent="0.2"/>
  <cols>
    <col min="1" max="2" width="1.83203125" customWidth="1"/>
    <col min="3" max="14" width="25.83203125" customWidth="1"/>
    <col min="15" max="16" width="1.83203125" customWidth="1"/>
    <col min="17" max="17" width="23.33203125" customWidth="1"/>
  </cols>
  <sheetData>
    <row r="1" spans="3:14" s="1" customFormat="1" x14ac:dyDescent="0.2"/>
    <row r="2" spans="3:14" s="1" customFormat="1" x14ac:dyDescent="0.2"/>
    <row r="3" spans="3:14" s="1" customFormat="1" ht="24" x14ac:dyDescent="0.3">
      <c r="C3" s="2" t="s">
        <v>0</v>
      </c>
    </row>
    <row r="6" spans="3:14" x14ac:dyDescent="0.2">
      <c r="C6" s="3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8" spans="3:14" x14ac:dyDescent="0.2">
      <c r="C8" t="s">
        <v>2</v>
      </c>
      <c r="D8" s="4" t="s">
        <v>3</v>
      </c>
      <c r="F8" t="s">
        <v>10</v>
      </c>
      <c r="G8" s="4">
        <f ca="1">N104</f>
        <v>887.59042297884491</v>
      </c>
    </row>
    <row r="9" spans="3:14" x14ac:dyDescent="0.2">
      <c r="C9" t="s">
        <v>4</v>
      </c>
      <c r="D9" s="4" t="s">
        <v>5</v>
      </c>
      <c r="F9" t="s">
        <v>11</v>
      </c>
      <c r="G9" s="7">
        <f ca="1">(G8/D12)-1</f>
        <v>0.30778020182532018</v>
      </c>
    </row>
    <row r="10" spans="3:14" x14ac:dyDescent="0.2">
      <c r="C10" t="s">
        <v>6</v>
      </c>
      <c r="D10" s="4" t="s">
        <v>7</v>
      </c>
    </row>
    <row r="11" spans="3:14" x14ac:dyDescent="0.2">
      <c r="C11" t="s">
        <v>8</v>
      </c>
      <c r="D11" s="5">
        <v>45657</v>
      </c>
    </row>
    <row r="12" spans="3:14" x14ac:dyDescent="0.2">
      <c r="C12" t="s">
        <v>9</v>
      </c>
      <c r="D12" s="6">
        <v>678.7</v>
      </c>
    </row>
    <row r="14" spans="3:14" x14ac:dyDescent="0.2">
      <c r="C14" s="3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6" spans="3:14" x14ac:dyDescent="0.2">
      <c r="C16" s="9" t="s">
        <v>13</v>
      </c>
      <c r="F16" t="s">
        <v>15</v>
      </c>
      <c r="G16" t="s">
        <v>16</v>
      </c>
      <c r="I16" t="s">
        <v>17</v>
      </c>
      <c r="J16" t="s">
        <v>16</v>
      </c>
      <c r="L16" t="s">
        <v>18</v>
      </c>
      <c r="M16" t="s">
        <v>16</v>
      </c>
    </row>
    <row r="17" spans="3:14" x14ac:dyDescent="0.2">
      <c r="C17" t="s">
        <v>14</v>
      </c>
      <c r="D17" s="4">
        <v>3</v>
      </c>
    </row>
    <row r="18" spans="3:14" x14ac:dyDescent="0.2">
      <c r="C18" t="s">
        <v>99</v>
      </c>
      <c r="D18" s="11">
        <f>CHOOSE(D17,G18,J18,M18)</f>
        <v>7.6435980796890388E-2</v>
      </c>
      <c r="F18" t="s">
        <v>99</v>
      </c>
      <c r="G18" s="74">
        <f>J18*(1+0.05)</f>
        <v>8.4481873512352548E-2</v>
      </c>
      <c r="I18" t="s">
        <v>99</v>
      </c>
      <c r="J18" s="23">
        <f>WACC!D6</f>
        <v>8.0458927154621468E-2</v>
      </c>
      <c r="L18" t="s">
        <v>99</v>
      </c>
      <c r="M18" s="74">
        <f>J18*(1-0.05)</f>
        <v>7.6435980796890388E-2</v>
      </c>
    </row>
    <row r="19" spans="3:14" x14ac:dyDescent="0.2">
      <c r="C19" t="s">
        <v>134</v>
      </c>
      <c r="D19" s="11">
        <f>CHOOSE(D17,G19,J19,M19)</f>
        <v>0.03</v>
      </c>
      <c r="F19" t="s">
        <v>100</v>
      </c>
      <c r="G19" s="68">
        <v>0.02</v>
      </c>
      <c r="I19" t="s">
        <v>100</v>
      </c>
      <c r="J19" s="68">
        <v>2.5000000000000001E-2</v>
      </c>
      <c r="L19" t="s">
        <v>100</v>
      </c>
      <c r="M19" s="68">
        <v>0.03</v>
      </c>
    </row>
    <row r="20" spans="3:14" x14ac:dyDescent="0.2">
      <c r="C20" t="s">
        <v>139</v>
      </c>
      <c r="D20" s="4">
        <v>3</v>
      </c>
      <c r="F20" t="s">
        <v>135</v>
      </c>
      <c r="G20" s="62">
        <v>-0.4</v>
      </c>
      <c r="L20" t="s">
        <v>135</v>
      </c>
      <c r="M20" s="62">
        <v>0.2</v>
      </c>
    </row>
    <row r="21" spans="3:14" x14ac:dyDescent="0.2">
      <c r="C21" t="s">
        <v>140</v>
      </c>
      <c r="D21" s="4">
        <v>3</v>
      </c>
      <c r="F21" t="s">
        <v>136</v>
      </c>
      <c r="G21" s="62">
        <f>-5%</f>
        <v>-0.05</v>
      </c>
      <c r="L21" t="s">
        <v>136</v>
      </c>
      <c r="M21" s="68">
        <v>7.4999999999999997E-2</v>
      </c>
    </row>
    <row r="22" spans="3:14" x14ac:dyDescent="0.2">
      <c r="C22" t="s">
        <v>137</v>
      </c>
      <c r="D22" s="4">
        <v>3</v>
      </c>
      <c r="F22" t="s">
        <v>137</v>
      </c>
      <c r="G22" s="62">
        <v>-0.05</v>
      </c>
      <c r="L22" s="65" t="s">
        <v>137</v>
      </c>
      <c r="M22" s="69">
        <v>0.05</v>
      </c>
    </row>
    <row r="23" spans="3:14" x14ac:dyDescent="0.2">
      <c r="C23" t="s">
        <v>138</v>
      </c>
      <c r="D23" s="4">
        <v>3</v>
      </c>
      <c r="F23" t="s">
        <v>138</v>
      </c>
      <c r="G23" s="62">
        <f>-10%</f>
        <v>-0.1</v>
      </c>
      <c r="L23" t="s">
        <v>138</v>
      </c>
      <c r="M23" s="62">
        <f>10%</f>
        <v>0.1</v>
      </c>
    </row>
    <row r="24" spans="3:14" x14ac:dyDescent="0.2">
      <c r="C24" t="s">
        <v>155</v>
      </c>
      <c r="D24" s="4">
        <v>3</v>
      </c>
    </row>
    <row r="25" spans="3:14" x14ac:dyDescent="0.2">
      <c r="C25" t="s">
        <v>156</v>
      </c>
      <c r="D25" s="4">
        <v>3</v>
      </c>
    </row>
    <row r="26" spans="3:14" x14ac:dyDescent="0.2">
      <c r="C26" t="s">
        <v>157</v>
      </c>
      <c r="D26" s="4">
        <v>3</v>
      </c>
    </row>
    <row r="27" spans="3:14" x14ac:dyDescent="0.2">
      <c r="C27" t="s">
        <v>158</v>
      </c>
      <c r="D27" s="4">
        <v>3</v>
      </c>
    </row>
    <row r="28" spans="3:14" x14ac:dyDescent="0.2">
      <c r="C28" s="26"/>
    </row>
    <row r="29" spans="3:14" x14ac:dyDescent="0.2">
      <c r="C29" s="3" t="s">
        <v>37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3:14" x14ac:dyDescent="0.2">
      <c r="E30" s="30"/>
      <c r="F30" s="30"/>
      <c r="G30" s="32" t="s">
        <v>128</v>
      </c>
      <c r="H30" s="30"/>
      <c r="I30" s="30"/>
      <c r="J30" s="31"/>
      <c r="K30" s="31"/>
      <c r="L30" s="33" t="s">
        <v>129</v>
      </c>
      <c r="M30" s="31"/>
      <c r="N30" s="31"/>
    </row>
    <row r="31" spans="3:14" x14ac:dyDescent="0.2">
      <c r="E31" s="29">
        <v>2020</v>
      </c>
      <c r="F31" s="29">
        <v>2021</v>
      </c>
      <c r="G31" s="29">
        <v>2022</v>
      </c>
      <c r="H31" s="29">
        <v>2023</v>
      </c>
      <c r="I31" s="29">
        <v>2024</v>
      </c>
      <c r="J31" s="27">
        <v>2025</v>
      </c>
      <c r="K31" s="27">
        <v>2026</v>
      </c>
      <c r="L31" s="27">
        <v>2027</v>
      </c>
      <c r="M31" s="27">
        <v>2028</v>
      </c>
      <c r="N31" s="27">
        <v>2029</v>
      </c>
    </row>
    <row r="32" spans="3:14" x14ac:dyDescent="0.2">
      <c r="C32" s="25"/>
    </row>
    <row r="33" spans="3:14" x14ac:dyDescent="0.2">
      <c r="C33" s="25" t="s">
        <v>38</v>
      </c>
      <c r="E33" s="70">
        <v>13978500000</v>
      </c>
      <c r="F33" s="70">
        <v>18611000000</v>
      </c>
      <c r="G33" s="70">
        <v>21173400000</v>
      </c>
      <c r="H33" s="70">
        <v>27558500000</v>
      </c>
      <c r="I33" s="70">
        <v>28262900000</v>
      </c>
      <c r="J33" s="57">
        <f ca="1">I33*(1+J34)</f>
        <v>33517589531.308784</v>
      </c>
      <c r="K33" s="57">
        <f t="shared" ref="K33:N33" ca="1" si="0">J33*(1+K34)</f>
        <v>39749240452.653488</v>
      </c>
      <c r="L33" s="57">
        <f t="shared" ca="1" si="0"/>
        <v>48096580947.710716</v>
      </c>
      <c r="M33" s="57">
        <f t="shared" ca="1" si="0"/>
        <v>58677828756.207069</v>
      </c>
      <c r="N33" s="57">
        <f t="shared" ca="1" si="0"/>
        <v>71586951082.572617</v>
      </c>
    </row>
    <row r="34" spans="3:14" x14ac:dyDescent="0.2">
      <c r="C34" s="8" t="s">
        <v>101</v>
      </c>
      <c r="E34" s="55">
        <v>0.18</v>
      </c>
      <c r="F34" s="35">
        <v>0.33140179561469402</v>
      </c>
      <c r="G34" s="35">
        <v>0.13768201601203589</v>
      </c>
      <c r="H34" s="35">
        <v>0.30156233765007034</v>
      </c>
      <c r="I34" s="35">
        <v>2.556017199775024E-2</v>
      </c>
      <c r="J34" s="60">
        <f ca="1">OFFSET(J34,$D20,0)</f>
        <v>0.18592181026394258</v>
      </c>
      <c r="K34" s="60">
        <f t="shared" ref="K34:N34" ca="1" si="1">OFFSET(K34,$D20,0)</f>
        <v>0.18592181026394258</v>
      </c>
      <c r="L34" s="60">
        <f t="shared" ca="1" si="1"/>
        <v>0.21</v>
      </c>
      <c r="M34" s="60">
        <f t="shared" ca="1" si="1"/>
        <v>0.22</v>
      </c>
      <c r="N34" s="60">
        <f t="shared" ca="1" si="1"/>
        <v>0.22</v>
      </c>
    </row>
    <row r="35" spans="3:14" x14ac:dyDescent="0.2">
      <c r="C35" s="8" t="s">
        <v>102</v>
      </c>
      <c r="J35" s="59">
        <f>J36*(1+$G20)</f>
        <v>9.2960905131971291E-2</v>
      </c>
      <c r="K35" s="59">
        <f>K36*(1+$G20)</f>
        <v>9.2960905131971291E-2</v>
      </c>
      <c r="L35" s="59">
        <f>L36*(1+$G20)</f>
        <v>0.10200000000000001</v>
      </c>
      <c r="M35" s="59">
        <f>M36*(1+$G20)</f>
        <v>0.108</v>
      </c>
      <c r="N35" s="59">
        <f>N36*(1+$G20)</f>
        <v>0.11714475855294607</v>
      </c>
    </row>
    <row r="36" spans="3:14" x14ac:dyDescent="0.2">
      <c r="C36" s="8" t="s">
        <v>103</v>
      </c>
      <c r="J36" s="59">
        <f>AVERAGE(G34:I34)</f>
        <v>0.15493484188661882</v>
      </c>
      <c r="K36" s="59">
        <f>AVERAGE(G34:I34)</f>
        <v>0.15493484188661882</v>
      </c>
      <c r="L36" s="62">
        <v>0.17</v>
      </c>
      <c r="M36" s="62">
        <v>0.18</v>
      </c>
      <c r="N36" s="59">
        <f>AVERAGE($E34:$I34)</f>
        <v>0.19524126425491012</v>
      </c>
    </row>
    <row r="37" spans="3:14" x14ac:dyDescent="0.2">
      <c r="C37" s="8" t="s">
        <v>104</v>
      </c>
      <c r="J37" s="59">
        <f>J36*(1+$M20)</f>
        <v>0.18592181026394258</v>
      </c>
      <c r="K37" s="59">
        <f>K36*(1+$M20)</f>
        <v>0.18592181026394258</v>
      </c>
      <c r="L37" s="62">
        <v>0.21</v>
      </c>
      <c r="M37" s="62">
        <v>0.22</v>
      </c>
      <c r="N37" s="62">
        <v>0.22</v>
      </c>
    </row>
    <row r="39" spans="3:14" x14ac:dyDescent="0.2">
      <c r="C39" s="25" t="s">
        <v>105</v>
      </c>
      <c r="E39" s="70">
        <f>E33-E43</f>
        <v>7181300000</v>
      </c>
      <c r="F39" s="70">
        <f t="shared" ref="F39:I39" si="2">F33-F43</f>
        <v>8802000000</v>
      </c>
      <c r="G39" s="70">
        <f t="shared" si="2"/>
        <v>10473300000</v>
      </c>
      <c r="H39" s="70">
        <f t="shared" si="2"/>
        <v>13422400000</v>
      </c>
      <c r="I39" s="70">
        <f t="shared" si="2"/>
        <v>13770900000</v>
      </c>
      <c r="J39" s="57">
        <f ca="1">J33-J43</f>
        <v>16088442975.028217</v>
      </c>
      <c r="K39" s="57">
        <f t="shared" ref="K39:N39" ca="1" si="3">K33-K43</f>
        <v>19079635417.273674</v>
      </c>
      <c r="L39" s="57">
        <f t="shared" ca="1" si="3"/>
        <v>22605393045.424034</v>
      </c>
      <c r="M39" s="57">
        <f t="shared" ca="1" si="3"/>
        <v>26991801227.855251</v>
      </c>
      <c r="N39" s="57">
        <f t="shared" ca="1" si="3"/>
        <v>32425956953.531219</v>
      </c>
    </row>
    <row r="40" spans="3:14" x14ac:dyDescent="0.2">
      <c r="C40" s="8" t="s">
        <v>108</v>
      </c>
      <c r="E40" s="52">
        <f>E39/E33</f>
        <v>0.51373895625424759</v>
      </c>
      <c r="F40" s="52">
        <f t="shared" ref="F40:I40" si="4">F39/F33</f>
        <v>0.47294610714093815</v>
      </c>
      <c r="G40" s="52">
        <f t="shared" si="4"/>
        <v>0.49464422341239478</v>
      </c>
      <c r="H40" s="52">
        <f t="shared" si="4"/>
        <v>0.48705118203095232</v>
      </c>
      <c r="I40" s="52">
        <f t="shared" si="4"/>
        <v>0.48724299346493105</v>
      </c>
      <c r="J40" s="58">
        <f ca="1">J39/J33</f>
        <v>0.48000000000000004</v>
      </c>
      <c r="K40" s="58">
        <f t="shared" ref="K40:N40" ca="1" si="5">K39/K33</f>
        <v>0.48</v>
      </c>
      <c r="L40" s="58">
        <f t="shared" ca="1" si="5"/>
        <v>0.47</v>
      </c>
      <c r="M40" s="58">
        <f t="shared" ca="1" si="5"/>
        <v>0.45999999999999996</v>
      </c>
      <c r="N40" s="58">
        <f t="shared" ca="1" si="5"/>
        <v>0.4529590443952447</v>
      </c>
    </row>
    <row r="42" spans="3:14" x14ac:dyDescent="0.2">
      <c r="C42" s="25"/>
    </row>
    <row r="43" spans="3:14" x14ac:dyDescent="0.2">
      <c r="C43" s="25" t="s">
        <v>39</v>
      </c>
      <c r="E43" s="70">
        <v>6797200000</v>
      </c>
      <c r="F43" s="70">
        <v>9809000000</v>
      </c>
      <c r="G43" s="70">
        <v>10700100000</v>
      </c>
      <c r="H43" s="70">
        <v>14136100000</v>
      </c>
      <c r="I43" s="70">
        <v>14492000000</v>
      </c>
      <c r="J43" s="57">
        <f ca="1">J33*J44</f>
        <v>17429146556.280567</v>
      </c>
      <c r="K43" s="57">
        <f t="shared" ref="K43:N43" ca="1" si="6">K33*K44</f>
        <v>20669605035.379814</v>
      </c>
      <c r="L43" s="57">
        <f t="shared" ca="1" si="6"/>
        <v>25491187902.286682</v>
      </c>
      <c r="M43" s="57">
        <f t="shared" ca="1" si="6"/>
        <v>31686027528.351818</v>
      </c>
      <c r="N43" s="57">
        <f t="shared" ca="1" si="6"/>
        <v>39160994129.041397</v>
      </c>
    </row>
    <row r="44" spans="3:14" x14ac:dyDescent="0.2">
      <c r="C44" s="8" t="s">
        <v>106</v>
      </c>
      <c r="E44" s="52">
        <f>E43/E33</f>
        <v>0.48626104374575241</v>
      </c>
      <c r="F44" s="52">
        <f>F43/F33</f>
        <v>0.52705389285906179</v>
      </c>
      <c r="G44" s="52">
        <f>G43/G33</f>
        <v>0.50535577658760522</v>
      </c>
      <c r="H44" s="52">
        <f>H43/H33</f>
        <v>0.51294881796904768</v>
      </c>
      <c r="I44" s="52">
        <f t="shared" ref="I44" si="7">I43/I33</f>
        <v>0.51275700653506895</v>
      </c>
      <c r="J44" s="63">
        <f ca="1">OFFSET(J44,$D21,0)</f>
        <v>0.52</v>
      </c>
      <c r="K44" s="63">
        <f t="shared" ref="K44:N44" ca="1" si="8">OFFSET(K44,$D21,0)</f>
        <v>0.52</v>
      </c>
      <c r="L44" s="63">
        <f t="shared" ca="1" si="8"/>
        <v>0.53</v>
      </c>
      <c r="M44" s="63">
        <f t="shared" ca="1" si="8"/>
        <v>0.54</v>
      </c>
      <c r="N44" s="63">
        <f t="shared" ca="1" si="8"/>
        <v>0.5470409556047553</v>
      </c>
    </row>
    <row r="45" spans="3:14" x14ac:dyDescent="0.2">
      <c r="C45" s="8" t="s">
        <v>102</v>
      </c>
      <c r="J45" s="64">
        <f>50%</f>
        <v>0.5</v>
      </c>
      <c r="K45" s="64">
        <v>0.5</v>
      </c>
      <c r="L45" s="64">
        <v>0.49</v>
      </c>
      <c r="M45" s="64">
        <v>0.48</v>
      </c>
      <c r="N45" s="61">
        <f>N46*(1+G21)</f>
        <v>0.48343154216234191</v>
      </c>
    </row>
    <row r="46" spans="3:14" x14ac:dyDescent="0.2">
      <c r="C46" s="8" t="s">
        <v>103</v>
      </c>
      <c r="J46" s="61">
        <f>AVERAGE($E44:$I44)</f>
        <v>0.50887530753930732</v>
      </c>
      <c r="K46" s="61">
        <f t="shared" ref="K46:N46" si="9">AVERAGE($E44:$I44)</f>
        <v>0.50887530753930732</v>
      </c>
      <c r="L46" s="61">
        <f t="shared" si="9"/>
        <v>0.50887530753930732</v>
      </c>
      <c r="M46" s="61">
        <f t="shared" si="9"/>
        <v>0.50887530753930732</v>
      </c>
      <c r="N46" s="61">
        <f t="shared" si="9"/>
        <v>0.50887530753930732</v>
      </c>
    </row>
    <row r="47" spans="3:14" x14ac:dyDescent="0.2">
      <c r="C47" s="8" t="s">
        <v>104</v>
      </c>
      <c r="J47" s="64">
        <v>0.52</v>
      </c>
      <c r="K47" s="64">
        <f>52%</f>
        <v>0.52</v>
      </c>
      <c r="L47" s="64">
        <f>53%</f>
        <v>0.53</v>
      </c>
      <c r="M47" s="64">
        <v>0.54</v>
      </c>
      <c r="N47" s="61">
        <f t="shared" ref="N47" si="10">N46*(1+$M21)</f>
        <v>0.5470409556047553</v>
      </c>
    </row>
    <row r="48" spans="3:14" x14ac:dyDescent="0.2">
      <c r="C48" s="25"/>
    </row>
    <row r="49" spans="3:14" x14ac:dyDescent="0.2">
      <c r="C49" s="25" t="s">
        <v>107</v>
      </c>
      <c r="E49" s="70">
        <v>2745700000</v>
      </c>
      <c r="F49" s="70">
        <v>3048900000</v>
      </c>
      <c r="G49" s="70">
        <v>4183200000</v>
      </c>
      <c r="H49" s="70">
        <v>4899900000</v>
      </c>
      <c r="I49" s="70">
        <v>5287000000</v>
      </c>
      <c r="J49" s="57">
        <f ca="1">J43-J52</f>
        <v>5027638429.6963177</v>
      </c>
      <c r="K49" s="57">
        <f t="shared" ref="K49:N49" ca="1" si="11">K43-K52</f>
        <v>5564893663.3714886</v>
      </c>
      <c r="L49" s="57">
        <f t="shared" ca="1" si="11"/>
        <v>7214487142.1566086</v>
      </c>
      <c r="M49" s="57">
        <f t="shared" ca="1" si="11"/>
        <v>8801674313.4310608</v>
      </c>
      <c r="N49" s="57">
        <f t="shared" ca="1" si="11"/>
        <v>9810344185.1866264</v>
      </c>
    </row>
    <row r="50" spans="3:14" x14ac:dyDescent="0.2">
      <c r="C50" s="8" t="s">
        <v>108</v>
      </c>
      <c r="E50" s="52">
        <f>E49/E33</f>
        <v>0.19642307829881603</v>
      </c>
      <c r="F50" s="52">
        <f>F49/F33</f>
        <v>0.16382247058191393</v>
      </c>
      <c r="G50" s="52">
        <f>G49/G33</f>
        <v>0.19756864745388081</v>
      </c>
      <c r="H50" s="52">
        <f>H49/H33</f>
        <v>0.17779995282762123</v>
      </c>
      <c r="I50" s="52">
        <f t="shared" ref="I50" si="12">I49/I33</f>
        <v>0.18706502163613783</v>
      </c>
      <c r="J50" s="58">
        <f ca="1">J49/J33</f>
        <v>0.15</v>
      </c>
      <c r="K50" s="58">
        <f t="shared" ref="K50:N50" ca="1" si="13">K49/K33</f>
        <v>0.14000000000000001</v>
      </c>
      <c r="L50" s="58">
        <f t="shared" ca="1" si="13"/>
        <v>0.15000000000000002</v>
      </c>
      <c r="M50" s="58">
        <f t="shared" ca="1" si="13"/>
        <v>0.15</v>
      </c>
      <c r="N50" s="58">
        <f t="shared" ca="1" si="13"/>
        <v>0.13704095560475535</v>
      </c>
    </row>
    <row r="51" spans="3:14" x14ac:dyDescent="0.2">
      <c r="C51" s="25"/>
    </row>
    <row r="52" spans="3:14" x14ac:dyDescent="0.2">
      <c r="C52" s="25" t="s">
        <v>66</v>
      </c>
      <c r="E52" s="70">
        <v>4542300000</v>
      </c>
      <c r="F52" s="70">
        <v>7231100000</v>
      </c>
      <c r="G52" s="70">
        <v>7100500000</v>
      </c>
      <c r="H52" s="70">
        <v>9976000000</v>
      </c>
      <c r="I52" s="70">
        <v>10123600000</v>
      </c>
      <c r="J52" s="57">
        <f ca="1">J33*J53</f>
        <v>12401508126.584249</v>
      </c>
      <c r="K52" s="57">
        <f t="shared" ref="K52:N52" ca="1" si="14">K33*K53</f>
        <v>15104711372.008326</v>
      </c>
      <c r="L52" s="57">
        <f t="shared" ca="1" si="14"/>
        <v>18276700760.130074</v>
      </c>
      <c r="M52" s="57">
        <f t="shared" ca="1" si="14"/>
        <v>22884353214.920757</v>
      </c>
      <c r="N52" s="57">
        <f t="shared" ca="1" si="14"/>
        <v>29350649943.854771</v>
      </c>
    </row>
    <row r="53" spans="3:14" x14ac:dyDescent="0.2">
      <c r="C53" s="8" t="s">
        <v>109</v>
      </c>
      <c r="E53" s="52">
        <f>E52/E33</f>
        <v>0.3249490288657581</v>
      </c>
      <c r="F53" s="52">
        <f>F52/F33</f>
        <v>0.38853903605394657</v>
      </c>
      <c r="G53" s="52">
        <f>G52/G33</f>
        <v>0.33535001464101183</v>
      </c>
      <c r="H53" s="52">
        <f>H52/H33</f>
        <v>0.3619935772991999</v>
      </c>
      <c r="I53" s="52">
        <f t="shared" ref="I53" si="15">I52/I33</f>
        <v>0.35819395744951865</v>
      </c>
      <c r="J53" s="60">
        <f ca="1">OFFSET(J53,$D22,0)</f>
        <v>0.37</v>
      </c>
      <c r="K53" s="60">
        <f t="shared" ref="K53:N53" ca="1" si="16">OFFSET(K53,$D22,0)</f>
        <v>0.38</v>
      </c>
      <c r="L53" s="60">
        <f t="shared" ca="1" si="16"/>
        <v>0.38</v>
      </c>
      <c r="M53" s="60">
        <f t="shared" ca="1" si="16"/>
        <v>0.39</v>
      </c>
      <c r="N53" s="60">
        <f t="shared" ca="1" si="16"/>
        <v>0.41</v>
      </c>
    </row>
    <row r="54" spans="3:14" x14ac:dyDescent="0.2">
      <c r="C54" s="8" t="s">
        <v>102</v>
      </c>
      <c r="J54" s="64">
        <v>0.33</v>
      </c>
      <c r="K54" s="64">
        <v>0.32</v>
      </c>
      <c r="L54" s="61">
        <v>0.31</v>
      </c>
      <c r="M54" s="61">
        <v>0.3</v>
      </c>
      <c r="N54" s="64">
        <v>0.28999999999999998</v>
      </c>
    </row>
    <row r="55" spans="3:14" x14ac:dyDescent="0.2">
      <c r="C55" s="8" t="s">
        <v>103</v>
      </c>
      <c r="J55" s="61">
        <f>AVERAGE($E53:$I53)</f>
        <v>0.35380512286188698</v>
      </c>
      <c r="K55" s="61">
        <f t="shared" ref="K55:N55" si="17">AVERAGE($E53:$I53)</f>
        <v>0.35380512286188698</v>
      </c>
      <c r="L55" s="61">
        <f t="shared" si="17"/>
        <v>0.35380512286188698</v>
      </c>
      <c r="M55" s="61">
        <f t="shared" si="17"/>
        <v>0.35380512286188698</v>
      </c>
      <c r="N55" s="61">
        <f t="shared" si="17"/>
        <v>0.35380512286188698</v>
      </c>
    </row>
    <row r="56" spans="3:14" x14ac:dyDescent="0.2">
      <c r="C56" s="8" t="s">
        <v>104</v>
      </c>
      <c r="F56" s="56"/>
      <c r="J56" s="64">
        <v>0.37</v>
      </c>
      <c r="K56" s="64">
        <v>0.38</v>
      </c>
      <c r="L56" s="61">
        <v>0.38</v>
      </c>
      <c r="M56" s="61">
        <v>0.39</v>
      </c>
      <c r="N56" s="64">
        <v>0.41</v>
      </c>
    </row>
    <row r="57" spans="3:14" x14ac:dyDescent="0.2">
      <c r="C57" s="25"/>
      <c r="J57" s="60"/>
      <c r="K57" s="60"/>
      <c r="L57" s="60"/>
      <c r="M57" s="60"/>
      <c r="N57" s="67"/>
    </row>
    <row r="58" spans="3:14" x14ac:dyDescent="0.2">
      <c r="C58" s="25" t="s">
        <v>95</v>
      </c>
      <c r="E58" s="71">
        <v>-490800000</v>
      </c>
      <c r="F58" s="71">
        <v>-471000000</v>
      </c>
      <c r="G58" s="71">
        <v>-583600000</v>
      </c>
      <c r="H58" s="71">
        <v>-739800000</v>
      </c>
      <c r="I58" s="71">
        <v>-918600000</v>
      </c>
      <c r="J58" s="57">
        <f ca="1">J33*J59</f>
        <v>-1086379299.0815635</v>
      </c>
      <c r="K58" s="57">
        <f t="shared" ref="K58:N58" ca="1" si="18">K33*K59</f>
        <v>-1288360905.0000808</v>
      </c>
      <c r="L58" s="57">
        <f t="shared" ca="1" si="18"/>
        <v>-1558916695.0500977</v>
      </c>
      <c r="M58" s="57">
        <f t="shared" ca="1" si="18"/>
        <v>-1901878367.9611189</v>
      </c>
      <c r="N58" s="57">
        <f t="shared" ca="1" si="18"/>
        <v>-2320291608.9125648</v>
      </c>
    </row>
    <row r="59" spans="3:14" x14ac:dyDescent="0.2">
      <c r="C59" s="8" t="s">
        <v>108</v>
      </c>
      <c r="E59" s="52">
        <f>E58/E33</f>
        <v>-3.511106341882176E-2</v>
      </c>
      <c r="F59" s="52">
        <f>F58/F33</f>
        <v>-2.5307613776798667E-2</v>
      </c>
      <c r="G59" s="52">
        <f>G58/G33</f>
        <v>-2.7562885507287447E-2</v>
      </c>
      <c r="H59" s="52">
        <f>H58/H33</f>
        <v>-2.6844712157773464E-2</v>
      </c>
      <c r="I59" s="52">
        <f t="shared" ref="I59" si="19">I58/I33</f>
        <v>-3.2501972550587517E-2</v>
      </c>
      <c r="J59" s="58">
        <f ca="1">OFFSET(J59,$D23,0)</f>
        <v>-3.2412214430479147E-2</v>
      </c>
      <c r="K59" s="58">
        <f t="shared" ref="K59:N59" ca="1" si="20">OFFSET(K59,$D23,0)</f>
        <v>-3.2412214430479147E-2</v>
      </c>
      <c r="L59" s="58">
        <f t="shared" ca="1" si="20"/>
        <v>-3.2412214430479147E-2</v>
      </c>
      <c r="M59" s="58">
        <f t="shared" ca="1" si="20"/>
        <v>-3.2412214430479147E-2</v>
      </c>
      <c r="N59" s="58">
        <f t="shared" ca="1" si="20"/>
        <v>-3.2412214430479147E-2</v>
      </c>
    </row>
    <row r="60" spans="3:14" x14ac:dyDescent="0.2">
      <c r="C60" s="8" t="s">
        <v>102</v>
      </c>
      <c r="J60" s="24">
        <f>J61*(1+$G23)</f>
        <v>-2.6519084534028393E-2</v>
      </c>
      <c r="K60" s="24">
        <f>K61*(1+$G23)</f>
        <v>-2.6519084534028393E-2</v>
      </c>
      <c r="L60" s="24">
        <f>L61*(1+$G23)</f>
        <v>-2.6519084534028393E-2</v>
      </c>
      <c r="M60" s="24">
        <f>M61*(1+$G23)</f>
        <v>-2.6519084534028393E-2</v>
      </c>
      <c r="N60" s="24">
        <f>N61*(1+$G23)</f>
        <v>-2.6519084534028393E-2</v>
      </c>
    </row>
    <row r="61" spans="3:14" x14ac:dyDescent="0.2">
      <c r="C61" s="8" t="s">
        <v>110</v>
      </c>
      <c r="J61" s="24">
        <f>AVERAGE($E59:$I59)</f>
        <v>-2.9465649482253768E-2</v>
      </c>
      <c r="K61" s="24">
        <f>AVERAGE($E59:$I59)</f>
        <v>-2.9465649482253768E-2</v>
      </c>
      <c r="L61" s="24">
        <f>AVERAGE($E59:$I59)</f>
        <v>-2.9465649482253768E-2</v>
      </c>
      <c r="M61" s="24">
        <f>AVERAGE($E59:$I59)</f>
        <v>-2.9465649482253768E-2</v>
      </c>
      <c r="N61" s="24">
        <f>AVERAGE($E59:$I59)</f>
        <v>-2.9465649482253768E-2</v>
      </c>
    </row>
    <row r="62" spans="3:14" x14ac:dyDescent="0.2">
      <c r="C62" s="8" t="s">
        <v>104</v>
      </c>
      <c r="J62" s="24">
        <f>J61*(1+$M23)</f>
        <v>-3.2412214430479147E-2</v>
      </c>
      <c r="K62" s="24">
        <f>K61*(1+$M23)</f>
        <v>-3.2412214430479147E-2</v>
      </c>
      <c r="L62" s="24">
        <f>L61*(1+$M23)</f>
        <v>-3.2412214430479147E-2</v>
      </c>
      <c r="M62" s="24">
        <f>M61*(1+$M23)</f>
        <v>-3.2412214430479147E-2</v>
      </c>
      <c r="N62" s="24">
        <f>N61*(1+$M23)</f>
        <v>-3.2412214430479147E-2</v>
      </c>
    </row>
    <row r="63" spans="3:14" x14ac:dyDescent="0.2">
      <c r="C63" s="25"/>
    </row>
    <row r="64" spans="3:14" x14ac:dyDescent="0.2">
      <c r="C64" s="25" t="s">
        <v>40</v>
      </c>
      <c r="E64" s="70">
        <v>4051500000</v>
      </c>
      <c r="F64" s="70">
        <v>6760100000</v>
      </c>
      <c r="G64" s="70">
        <v>6516900000</v>
      </c>
      <c r="H64" s="70">
        <v>9236200000</v>
      </c>
      <c r="I64" s="70">
        <v>9205000000</v>
      </c>
      <c r="J64" s="57">
        <f ca="1">J52+J58</f>
        <v>11315128827.502686</v>
      </c>
      <c r="K64" s="57">
        <f t="shared" ref="K64:N64" ca="1" si="21">K52+K58</f>
        <v>13816350467.008245</v>
      </c>
      <c r="L64" s="57">
        <f t="shared" ca="1" si="21"/>
        <v>16717784065.079975</v>
      </c>
      <c r="M64" s="57">
        <f t="shared" ca="1" si="21"/>
        <v>20982474846.959637</v>
      </c>
      <c r="N64" s="57">
        <f t="shared" ca="1" si="21"/>
        <v>27030358334.942207</v>
      </c>
    </row>
    <row r="65" spans="3:16" x14ac:dyDescent="0.2">
      <c r="C65" s="8" t="s">
        <v>108</v>
      </c>
      <c r="E65" s="52">
        <f>E64/E33</f>
        <v>0.28983796544693635</v>
      </c>
      <c r="F65" s="52">
        <f t="shared" ref="F65:I65" si="22">F64/F33</f>
        <v>0.36323142227714794</v>
      </c>
      <c r="G65" s="52">
        <f t="shared" si="22"/>
        <v>0.30778712913372441</v>
      </c>
      <c r="H65" s="52">
        <f t="shared" si="22"/>
        <v>0.33514886514142644</v>
      </c>
      <c r="I65" s="52">
        <f t="shared" si="22"/>
        <v>0.32569198489893109</v>
      </c>
      <c r="J65" s="58">
        <f ca="1">J64/J33</f>
        <v>0.33758778556952079</v>
      </c>
      <c r="K65" s="58">
        <f t="shared" ref="K65:N65" ca="1" si="23">K64/K33</f>
        <v>0.34758778556952086</v>
      </c>
      <c r="L65" s="58">
        <f t="shared" ca="1" si="23"/>
        <v>0.34758778556952086</v>
      </c>
      <c r="M65" s="58">
        <f t="shared" ca="1" si="23"/>
        <v>0.35758778556952081</v>
      </c>
      <c r="N65" s="58">
        <f t="shared" ca="1" si="23"/>
        <v>0.37758778556952083</v>
      </c>
    </row>
    <row r="66" spans="3:16" x14ac:dyDescent="0.2">
      <c r="C66" s="25"/>
    </row>
    <row r="67" spans="3:16" x14ac:dyDescent="0.2">
      <c r="C67" s="25" t="s">
        <v>111</v>
      </c>
      <c r="E67" s="70">
        <v>-43300000</v>
      </c>
      <c r="F67" s="70">
        <v>-54600000</v>
      </c>
      <c r="G67" s="70">
        <v>-60800000</v>
      </c>
      <c r="H67" s="70">
        <v>-152700000</v>
      </c>
      <c r="I67" s="70">
        <v>-162600000</v>
      </c>
      <c r="J67" s="57">
        <f ca="1">J33*J68</f>
        <v>-135390655.10828716</v>
      </c>
      <c r="K67" s="57">
        <f t="shared" ref="K67:N67" ca="1" si="24">K33*K68</f>
        <v>-168049714.67939621</v>
      </c>
      <c r="L67" s="57">
        <f t="shared" ca="1" si="24"/>
        <v>-215787527.82672864</v>
      </c>
      <c r="M67" s="57">
        <f t="shared" ca="1" si="24"/>
        <v>-282213941.15982765</v>
      </c>
      <c r="N67" s="57">
        <f t="shared" ca="1" si="24"/>
        <v>-333829407.1088624</v>
      </c>
      <c r="P67" s="57"/>
    </row>
    <row r="68" spans="3:16" x14ac:dyDescent="0.2">
      <c r="C68" s="8" t="s">
        <v>108</v>
      </c>
      <c r="E68" s="52">
        <f>E67/E33</f>
        <v>-3.0976141932253102E-3</v>
      </c>
      <c r="F68" s="52">
        <f t="shared" ref="F68:I68" si="25">F67/F33</f>
        <v>-2.9337488582021386E-3</v>
      </c>
      <c r="G68" s="52">
        <f t="shared" si="25"/>
        <v>-2.8715274825960877E-3</v>
      </c>
      <c r="H68" s="52">
        <f t="shared" si="25"/>
        <v>-5.5409401817950905E-3</v>
      </c>
      <c r="I68" s="52">
        <f t="shared" si="25"/>
        <v>-5.7531251216258773E-3</v>
      </c>
      <c r="J68" s="66">
        <f>AVERAGE(E68:I68)</f>
        <v>-4.039391167488901E-3</v>
      </c>
      <c r="K68" s="66">
        <f t="shared" ref="K68:M68" si="26">AVERAGE(F68:J68)</f>
        <v>-4.2277465623416196E-3</v>
      </c>
      <c r="L68" s="66">
        <f t="shared" si="26"/>
        <v>-4.4865461031695147E-3</v>
      </c>
      <c r="M68" s="66">
        <f t="shared" si="26"/>
        <v>-4.809549827284201E-3</v>
      </c>
      <c r="N68" s="66">
        <f>AVERAGE(I68:M68)</f>
        <v>-4.6632717563820231E-3</v>
      </c>
    </row>
    <row r="69" spans="3:16" x14ac:dyDescent="0.2">
      <c r="C69" s="25"/>
    </row>
    <row r="70" spans="3:16" x14ac:dyDescent="0.2">
      <c r="C70" s="25" t="s">
        <v>112</v>
      </c>
      <c r="E70" s="70">
        <f>E64+E67</f>
        <v>4008200000</v>
      </c>
      <c r="F70" s="70">
        <f t="shared" ref="F70:I70" si="27">F64+F67</f>
        <v>6705500000</v>
      </c>
      <c r="G70" s="70">
        <f t="shared" si="27"/>
        <v>6456100000</v>
      </c>
      <c r="H70" s="70">
        <f t="shared" si="27"/>
        <v>9083500000</v>
      </c>
      <c r="I70" s="70">
        <f t="shared" si="27"/>
        <v>9042400000</v>
      </c>
      <c r="J70" s="57">
        <f ca="1">J64+J67</f>
        <v>11179738172.394398</v>
      </c>
      <c r="K70" s="57">
        <f t="shared" ref="K70:N70" ca="1" si="28">K64+K67</f>
        <v>13648300752.32885</v>
      </c>
      <c r="L70" s="57">
        <f t="shared" ca="1" si="28"/>
        <v>16501996537.253246</v>
      </c>
      <c r="M70" s="57">
        <f t="shared" ca="1" si="28"/>
        <v>20700260905.799809</v>
      </c>
      <c r="N70" s="57">
        <f t="shared" ca="1" si="28"/>
        <v>26696528927.833344</v>
      </c>
    </row>
    <row r="71" spans="3:16" x14ac:dyDescent="0.2">
      <c r="C71" s="8" t="s">
        <v>108</v>
      </c>
      <c r="E71" s="52">
        <f>E70/E33</f>
        <v>0.28674035125371106</v>
      </c>
      <c r="F71" s="52">
        <f t="shared" ref="F71:I71" si="29">F70/F33</f>
        <v>0.36029767341894581</v>
      </c>
      <c r="G71" s="52">
        <f t="shared" si="29"/>
        <v>0.3049156016511283</v>
      </c>
      <c r="H71" s="52">
        <f t="shared" si="29"/>
        <v>0.32960792495963132</v>
      </c>
      <c r="I71" s="52">
        <f t="shared" si="29"/>
        <v>0.31993885977730524</v>
      </c>
      <c r="J71" s="58">
        <f ca="1">J70/J33</f>
        <v>0.33354839440203188</v>
      </c>
      <c r="K71" s="58">
        <f t="shared" ref="K71:N71" ca="1" si="30">K70/K33</f>
        <v>0.34336003900717926</v>
      </c>
      <c r="L71" s="58">
        <f t="shared" ca="1" si="30"/>
        <v>0.34310123946635135</v>
      </c>
      <c r="M71" s="58">
        <f t="shared" ca="1" si="30"/>
        <v>0.3527782357422366</v>
      </c>
      <c r="N71" s="58">
        <f t="shared" ca="1" si="30"/>
        <v>0.37292451381313879</v>
      </c>
    </row>
    <row r="72" spans="3:16" x14ac:dyDescent="0.2">
      <c r="C72" s="25"/>
    </row>
    <row r="73" spans="3:16" x14ac:dyDescent="0.2">
      <c r="C73" s="25" t="s">
        <v>94</v>
      </c>
      <c r="E73" s="71">
        <v>-730000000</v>
      </c>
      <c r="F73" s="71">
        <v>-1021400000</v>
      </c>
      <c r="G73" s="71">
        <v>-969900000</v>
      </c>
      <c r="H73" s="71">
        <v>-1435800000</v>
      </c>
      <c r="I73" s="71">
        <v>-1680600000</v>
      </c>
      <c r="J73" s="57">
        <f ca="1">J74*J70</f>
        <v>-1852715012.660068</v>
      </c>
      <c r="K73" s="57">
        <f t="shared" ref="K73:N73" ca="1" si="31">K74*K70</f>
        <v>-2217024743.92875</v>
      </c>
      <c r="L73" s="57">
        <f t="shared" ca="1" si="31"/>
        <v>-2713967792.2629914</v>
      </c>
      <c r="M73" s="57">
        <f t="shared" ca="1" si="31"/>
        <v>-3463352213.1377115</v>
      </c>
      <c r="N73" s="57">
        <f t="shared" ca="1" si="31"/>
        <v>-4515935335.2835255</v>
      </c>
    </row>
    <row r="74" spans="3:16" x14ac:dyDescent="0.2">
      <c r="C74" s="8" t="s">
        <v>113</v>
      </c>
      <c r="E74" s="52">
        <f>E73/E70</f>
        <v>-0.18212664038720622</v>
      </c>
      <c r="F74" s="52">
        <f t="shared" ref="F74:I74" si="32">F73/F70</f>
        <v>-0.15232272015509657</v>
      </c>
      <c r="G74" s="52">
        <f t="shared" si="32"/>
        <v>-0.15023001502455041</v>
      </c>
      <c r="H74" s="52">
        <f t="shared" si="32"/>
        <v>-0.15806682446193648</v>
      </c>
      <c r="I74" s="52">
        <f t="shared" si="32"/>
        <v>-0.18585773688401308</v>
      </c>
      <c r="J74" s="23">
        <f>AVERAGE(E74:I74)</f>
        <v>-0.16572078738256055</v>
      </c>
      <c r="K74" s="23">
        <f t="shared" ref="K74:N74" si="33">AVERAGE(F74:J74)</f>
        <v>-0.16243961678163141</v>
      </c>
      <c r="L74" s="23">
        <f t="shared" si="33"/>
        <v>-0.1644629961069384</v>
      </c>
      <c r="M74" s="23">
        <f t="shared" si="33"/>
        <v>-0.16730959232341597</v>
      </c>
      <c r="N74" s="23">
        <f t="shared" si="33"/>
        <v>-0.16915814589571188</v>
      </c>
    </row>
    <row r="76" spans="3:16" x14ac:dyDescent="0.2">
      <c r="C76" s="25" t="s">
        <v>118</v>
      </c>
      <c r="E76" s="71">
        <v>-1000800000</v>
      </c>
      <c r="F76" s="70">
        <v>-940300000</v>
      </c>
      <c r="G76" s="70">
        <v>-1319300000</v>
      </c>
      <c r="H76" s="70">
        <v>-2196200000</v>
      </c>
      <c r="I76" s="70">
        <v>-2083100000</v>
      </c>
      <c r="J76" s="54">
        <f ca="1">J77*J33</f>
        <v>-1843467424.2219832</v>
      </c>
      <c r="K76" s="54">
        <f t="shared" ref="K76:N76" ca="1" si="34">K77*K33</f>
        <v>-2384954427.1592093</v>
      </c>
      <c r="L76" s="54">
        <f t="shared" ca="1" si="34"/>
        <v>-2645311952.1240892</v>
      </c>
      <c r="M76" s="54">
        <f t="shared" ca="1" si="34"/>
        <v>-2933891437.8103538</v>
      </c>
      <c r="N76" s="54">
        <f t="shared" ca="1" si="34"/>
        <v>-3400380176.4221992</v>
      </c>
    </row>
    <row r="77" spans="3:16" x14ac:dyDescent="0.2">
      <c r="C77" t="s">
        <v>108</v>
      </c>
      <c r="E77" s="11">
        <f>E76/E33</f>
        <v>-7.1595664770898168E-2</v>
      </c>
      <c r="F77" s="11">
        <f t="shared" ref="F77:I77" si="35">F76/F33</f>
        <v>-5.0523883724678954E-2</v>
      </c>
      <c r="G77" s="11">
        <f t="shared" si="35"/>
        <v>-6.2309312628108855E-2</v>
      </c>
      <c r="H77" s="11">
        <f t="shared" si="35"/>
        <v>-7.9692290944717595E-2</v>
      </c>
      <c r="I77" s="11">
        <f t="shared" si="35"/>
        <v>-7.3704396930251326E-2</v>
      </c>
      <c r="J77" s="68">
        <v>-5.5E-2</v>
      </c>
      <c r="K77" s="68">
        <f>-6%</f>
        <v>-0.06</v>
      </c>
      <c r="L77" s="68">
        <v>-5.5E-2</v>
      </c>
      <c r="M77" s="68">
        <v>-0.05</v>
      </c>
      <c r="N77" s="68">
        <v>-4.7500000000000001E-2</v>
      </c>
    </row>
    <row r="79" spans="3:16" x14ac:dyDescent="0.2">
      <c r="C79" s="3" t="s">
        <v>114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3:16" x14ac:dyDescent="0.2">
      <c r="C80" s="26"/>
      <c r="E80" s="30"/>
      <c r="F80" s="30"/>
      <c r="G80" s="32" t="s">
        <v>128</v>
      </c>
      <c r="H80" s="30"/>
      <c r="I80" s="30"/>
      <c r="J80" s="31"/>
      <c r="K80" s="31"/>
      <c r="L80" s="33" t="s">
        <v>129</v>
      </c>
      <c r="M80" s="31"/>
      <c r="N80" s="31"/>
    </row>
    <row r="81" spans="3:14" x14ac:dyDescent="0.2">
      <c r="C81" s="26"/>
      <c r="E81" s="29">
        <v>2020</v>
      </c>
      <c r="F81" s="29">
        <v>2021</v>
      </c>
      <c r="G81" s="29">
        <v>2022</v>
      </c>
      <c r="H81" s="29">
        <v>2023</v>
      </c>
      <c r="I81" s="29">
        <v>2024</v>
      </c>
      <c r="J81" s="27">
        <v>2025</v>
      </c>
      <c r="K81" s="27">
        <v>2026</v>
      </c>
      <c r="L81" s="27">
        <v>2027</v>
      </c>
      <c r="M81" s="27">
        <v>2028</v>
      </c>
      <c r="N81" s="27">
        <v>2029</v>
      </c>
    </row>
    <row r="82" spans="3:14" x14ac:dyDescent="0.2">
      <c r="C82" s="25" t="s">
        <v>40</v>
      </c>
      <c r="E82" s="28"/>
      <c r="F82" s="28"/>
      <c r="G82" s="28"/>
      <c r="H82" s="28"/>
      <c r="I82" s="28"/>
      <c r="J82" s="57">
        <f ca="1">J64</f>
        <v>11315128827.502686</v>
      </c>
      <c r="K82" s="57">
        <f ca="1">K64</f>
        <v>13816350467.008245</v>
      </c>
      <c r="L82" s="57">
        <f ca="1">L64</f>
        <v>16717784065.079975</v>
      </c>
      <c r="M82" s="57">
        <f ca="1">M64</f>
        <v>20982474846.959637</v>
      </c>
      <c r="N82" s="57">
        <f ca="1">N64</f>
        <v>27030358334.942207</v>
      </c>
    </row>
    <row r="83" spans="3:14" x14ac:dyDescent="0.2">
      <c r="C83" s="25" t="s">
        <v>115</v>
      </c>
      <c r="E83" s="28"/>
      <c r="F83" s="28"/>
      <c r="G83" s="28"/>
      <c r="H83" s="28"/>
      <c r="I83" s="28"/>
      <c r="J83" s="11">
        <f>(1+J74)</f>
        <v>0.83427921261743943</v>
      </c>
      <c r="K83" s="11">
        <f>(1+K74)</f>
        <v>0.83756038321836856</v>
      </c>
      <c r="L83" s="11">
        <f>(1+L74)</f>
        <v>0.83553700389306162</v>
      </c>
      <c r="M83" s="11">
        <f>(1+M74)</f>
        <v>0.83269040767658398</v>
      </c>
      <c r="N83" s="11">
        <f>(1+N74)</f>
        <v>0.83084185410428812</v>
      </c>
    </row>
    <row r="84" spans="3:14" x14ac:dyDescent="0.2">
      <c r="C84" s="25" t="s">
        <v>116</v>
      </c>
      <c r="E84" s="28"/>
      <c r="F84" s="28"/>
      <c r="G84" s="28"/>
      <c r="H84" s="28"/>
      <c r="I84" s="28"/>
      <c r="J84" s="57">
        <f ca="1">J82*J83</f>
        <v>9439976768.8738308</v>
      </c>
      <c r="K84" s="57">
        <f t="shared" ref="K84:N84" ca="1" si="36">K82*K83</f>
        <v>11572027791.826712</v>
      </c>
      <c r="L84" s="57">
        <f t="shared" ca="1" si="36"/>
        <v>13968327209.46809</v>
      </c>
      <c r="M84" s="57">
        <f t="shared" ca="1" si="36"/>
        <v>17471905534.37849</v>
      </c>
      <c r="N84" s="57">
        <f t="shared" ca="1" si="36"/>
        <v>22457953036.106682</v>
      </c>
    </row>
    <row r="85" spans="3:14" x14ac:dyDescent="0.2">
      <c r="C85" s="25" t="s">
        <v>117</v>
      </c>
      <c r="E85" s="28"/>
      <c r="F85" s="28"/>
      <c r="G85" s="28"/>
      <c r="H85" s="28"/>
      <c r="I85" s="28"/>
      <c r="J85" s="57">
        <f ca="1">-J58</f>
        <v>1086379299.0815635</v>
      </c>
      <c r="K85" s="57">
        <f ca="1">-K58</f>
        <v>1288360905.0000808</v>
      </c>
      <c r="L85" s="57">
        <f ca="1">-L58</f>
        <v>1558916695.0500977</v>
      </c>
      <c r="M85" s="57">
        <f ca="1">-M58</f>
        <v>1901878367.9611189</v>
      </c>
      <c r="N85" s="57">
        <f ca="1">-N58</f>
        <v>2320291608.9125648</v>
      </c>
    </row>
    <row r="86" spans="3:14" x14ac:dyDescent="0.2">
      <c r="C86" s="25" t="s">
        <v>118</v>
      </c>
      <c r="E86" s="28"/>
      <c r="F86" s="28"/>
      <c r="G86" s="28"/>
      <c r="H86" s="28"/>
      <c r="I86" s="28"/>
      <c r="J86" s="72">
        <f ca="1">J76</f>
        <v>-1843467424.2219832</v>
      </c>
      <c r="K86" s="72">
        <f t="shared" ref="K86:N86" ca="1" si="37">K76</f>
        <v>-2384954427.1592093</v>
      </c>
      <c r="L86" s="72">
        <f t="shared" ca="1" si="37"/>
        <v>-2645311952.1240892</v>
      </c>
      <c r="M86" s="72">
        <f t="shared" ca="1" si="37"/>
        <v>-2933891437.8103538</v>
      </c>
      <c r="N86" s="72">
        <f t="shared" ca="1" si="37"/>
        <v>-3400380176.4221992</v>
      </c>
    </row>
    <row r="87" spans="3:14" x14ac:dyDescent="0.2">
      <c r="C87" s="25" t="s">
        <v>119</v>
      </c>
      <c r="E87" s="28"/>
      <c r="F87" s="28"/>
      <c r="G87" s="28"/>
      <c r="H87" s="28"/>
      <c r="I87" s="28"/>
      <c r="J87" s="72">
        <f ca="1">-J152</f>
        <v>2189042089.0134583</v>
      </c>
      <c r="K87" s="72">
        <f t="shared" ref="K87:N87" ca="1" si="38">-K152</f>
        <v>-1315609153.3364258</v>
      </c>
      <c r="L87" s="72">
        <f t="shared" ca="1" si="38"/>
        <v>-1452567389.4971275</v>
      </c>
      <c r="M87" s="72">
        <f t="shared" ca="1" si="38"/>
        <v>2116249561.6992707</v>
      </c>
      <c r="N87" s="72">
        <f t="shared" ca="1" si="38"/>
        <v>-4003939058.3119049</v>
      </c>
    </row>
    <row r="88" spans="3:14" x14ac:dyDescent="0.2">
      <c r="C88" s="25" t="s">
        <v>62</v>
      </c>
      <c r="E88" s="28"/>
      <c r="F88" s="28"/>
      <c r="G88" s="28"/>
      <c r="H88" s="28"/>
      <c r="I88" s="28"/>
      <c r="J88" s="57">
        <f ca="1">SUM(J84:J87)</f>
        <v>10871930732.74687</v>
      </c>
      <c r="K88" s="57">
        <f t="shared" ref="K88:N88" ca="1" si="39">SUM(K84:K87)</f>
        <v>9159825116.3311577</v>
      </c>
      <c r="L88" s="57">
        <f t="shared" ca="1" si="39"/>
        <v>11429364562.896973</v>
      </c>
      <c r="M88" s="57">
        <f t="shared" ca="1" si="39"/>
        <v>18556142026.228527</v>
      </c>
      <c r="N88" s="57">
        <f t="shared" ca="1" si="39"/>
        <v>17373925410.285141</v>
      </c>
    </row>
    <row r="89" spans="3:14" x14ac:dyDescent="0.2">
      <c r="C89" s="25"/>
    </row>
    <row r="90" spans="3:14" x14ac:dyDescent="0.2">
      <c r="C90" s="25" t="s">
        <v>121</v>
      </c>
      <c r="E90" s="28"/>
      <c r="F90" s="28"/>
      <c r="G90" s="28"/>
      <c r="H90" s="28"/>
      <c r="I90" s="28"/>
      <c r="J90" s="73">
        <v>1</v>
      </c>
      <c r="K90" s="73">
        <v>2</v>
      </c>
      <c r="L90" s="73">
        <v>3</v>
      </c>
      <c r="M90" s="73">
        <v>4</v>
      </c>
      <c r="N90" s="73">
        <v>5</v>
      </c>
    </row>
    <row r="91" spans="3:14" x14ac:dyDescent="0.2">
      <c r="C91" s="25" t="s">
        <v>120</v>
      </c>
      <c r="E91" s="28"/>
      <c r="F91" s="28"/>
      <c r="G91" s="28"/>
      <c r="H91" s="28"/>
      <c r="I91" s="28"/>
      <c r="J91" s="73">
        <v>0.5</v>
      </c>
      <c r="K91" s="73">
        <v>1.5</v>
      </c>
      <c r="L91" s="73">
        <v>2.5</v>
      </c>
      <c r="M91" s="73">
        <v>3.5</v>
      </c>
      <c r="N91" s="73">
        <v>4.5</v>
      </c>
    </row>
    <row r="94" spans="3:14" x14ac:dyDescent="0.2">
      <c r="C94" s="25" t="s">
        <v>130</v>
      </c>
      <c r="E94" s="28"/>
      <c r="F94" s="28"/>
      <c r="G94" s="28"/>
      <c r="H94" s="28"/>
      <c r="I94" s="28"/>
      <c r="J94" s="57" cm="1">
        <f t="array" aca="1" ref="J94" ca="1">J88/(1+wacc)^J91</f>
        <v>10478824667.170568</v>
      </c>
      <c r="K94" s="57" cm="1">
        <f t="array" aca="1" ref="K94" ca="1">K88/(1+wacc)^K91</f>
        <v>8201718758.2297649</v>
      </c>
      <c r="L94" s="57" cm="1">
        <f t="array" aca="1" ref="L94" ca="1">L88/(1+wacc)^L91</f>
        <v>9507176806.8164883</v>
      </c>
      <c r="M94" s="57" cm="1">
        <f t="array" aca="1" ref="M94" ca="1">M88/(1+wacc)^M91</f>
        <v>14339333543.99695</v>
      </c>
      <c r="N94" s="57" cm="1">
        <f t="array" aca="1" ref="N94" ca="1">N88/(1+wacc)^N91</f>
        <v>12472428577.676817</v>
      </c>
    </row>
    <row r="96" spans="3:14" x14ac:dyDescent="0.2">
      <c r="C96" s="25" t="s">
        <v>122</v>
      </c>
      <c r="E96" s="28"/>
      <c r="F96" s="28"/>
      <c r="G96" s="28"/>
      <c r="H96" s="28"/>
      <c r="I96" s="28"/>
      <c r="N96" s="57">
        <f ca="1">N88*(1+tgr)/(wacc-tgr)</f>
        <v>385372352763.83038</v>
      </c>
    </row>
    <row r="97" spans="3:14" x14ac:dyDescent="0.2">
      <c r="C97" s="25" t="s">
        <v>127</v>
      </c>
      <c r="E97" s="28"/>
      <c r="F97" s="28"/>
      <c r="G97" s="28"/>
      <c r="H97" s="28"/>
      <c r="I97" s="28"/>
      <c r="N97" s="57">
        <f ca="1">N96/(1+wacc)^N91</f>
        <v>276651881031.60303</v>
      </c>
    </row>
    <row r="99" spans="3:14" x14ac:dyDescent="0.2">
      <c r="C99" s="25" t="s">
        <v>68</v>
      </c>
      <c r="E99" s="28"/>
      <c r="F99" s="28"/>
      <c r="G99" s="28"/>
      <c r="H99" s="28"/>
      <c r="I99" s="28"/>
      <c r="N99" s="57">
        <f ca="1">N97+SUM(J94:N94)</f>
        <v>331651363385.49359</v>
      </c>
    </row>
    <row r="100" spans="3:14" x14ac:dyDescent="0.2">
      <c r="C100" s="25" t="s">
        <v>123</v>
      </c>
      <c r="E100" s="28"/>
      <c r="F100" s="28"/>
      <c r="G100" s="28"/>
      <c r="H100" s="28"/>
      <c r="I100" s="28"/>
      <c r="N100" s="54">
        <v>12735900000</v>
      </c>
    </row>
    <row r="101" spans="3:14" x14ac:dyDescent="0.2">
      <c r="C101" s="25" t="s">
        <v>124</v>
      </c>
      <c r="E101" s="28"/>
      <c r="F101" s="28"/>
      <c r="G101" s="28"/>
      <c r="H101" s="28"/>
      <c r="I101" s="28"/>
      <c r="N101" s="54">
        <v>4687600000</v>
      </c>
    </row>
    <row r="102" spans="3:14" x14ac:dyDescent="0.2">
      <c r="C102" s="25" t="s">
        <v>125</v>
      </c>
      <c r="E102" s="28"/>
      <c r="F102" s="28"/>
      <c r="G102" s="28"/>
      <c r="H102" s="28"/>
      <c r="I102" s="28"/>
      <c r="N102" s="57">
        <f ca="1">SUM(N99:N101)</f>
        <v>349074863385.49359</v>
      </c>
    </row>
    <row r="103" spans="3:14" ht="17" thickBot="1" x14ac:dyDescent="0.25">
      <c r="C103" s="25" t="s">
        <v>126</v>
      </c>
      <c r="E103" s="28"/>
      <c r="F103" s="28"/>
      <c r="G103" s="28"/>
      <c r="H103" s="28"/>
      <c r="I103" s="28"/>
      <c r="N103">
        <v>393283720</v>
      </c>
    </row>
    <row r="104" spans="3:14" ht="17" thickBot="1" x14ac:dyDescent="0.25">
      <c r="C104" s="25" t="s">
        <v>9</v>
      </c>
      <c r="E104" s="28"/>
      <c r="F104" s="28"/>
      <c r="G104" s="28"/>
      <c r="H104" s="28"/>
      <c r="I104" s="28"/>
      <c r="N104" s="75">
        <f ca="1">N102/N103</f>
        <v>887.59042297884491</v>
      </c>
    </row>
    <row r="106" spans="3:14" x14ac:dyDescent="0.2">
      <c r="C106" s="77" t="s">
        <v>141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3:14" x14ac:dyDescent="0.2">
      <c r="C107" s="77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</row>
    <row r="108" spans="3:14" x14ac:dyDescent="0.2">
      <c r="E108" s="30"/>
      <c r="F108" s="30"/>
      <c r="G108" s="32" t="s">
        <v>128</v>
      </c>
      <c r="H108" s="30"/>
      <c r="I108" s="30"/>
      <c r="J108" s="31"/>
      <c r="K108" s="31"/>
      <c r="L108" s="33" t="s">
        <v>129</v>
      </c>
      <c r="M108" s="31"/>
      <c r="N108" s="31"/>
    </row>
    <row r="109" spans="3:14" x14ac:dyDescent="0.2">
      <c r="E109" s="29">
        <v>2020</v>
      </c>
      <c r="F109" s="29">
        <v>2021</v>
      </c>
      <c r="G109" s="29">
        <v>2022</v>
      </c>
      <c r="H109" s="29">
        <v>2023</v>
      </c>
      <c r="I109" s="29">
        <v>2024</v>
      </c>
      <c r="J109" s="27">
        <v>2025</v>
      </c>
      <c r="K109" s="27">
        <v>2026</v>
      </c>
      <c r="L109" s="27">
        <v>2027</v>
      </c>
      <c r="M109" s="27">
        <v>2028</v>
      </c>
      <c r="N109" s="27">
        <v>2029</v>
      </c>
    </row>
    <row r="110" spans="3:14" x14ac:dyDescent="0.2">
      <c r="E110" s="78"/>
      <c r="F110" s="78"/>
      <c r="G110" s="78"/>
      <c r="H110" s="78"/>
      <c r="I110" s="78"/>
      <c r="J110" s="78"/>
      <c r="K110" s="78"/>
      <c r="L110" s="78"/>
      <c r="M110" s="78"/>
      <c r="N110" s="78"/>
    </row>
    <row r="111" spans="3:14" x14ac:dyDescent="0.2">
      <c r="C111" s="25" t="s">
        <v>152</v>
      </c>
      <c r="E111" s="57">
        <f t="shared" ref="E111:N111" si="40">E113+E119+E125</f>
        <v>9880000000</v>
      </c>
      <c r="F111" s="57">
        <f t="shared" si="40"/>
        <v>18190000000</v>
      </c>
      <c r="G111" s="57">
        <f t="shared" si="40"/>
        <v>23060000000</v>
      </c>
      <c r="H111" s="57">
        <f t="shared" si="40"/>
        <v>24390000000</v>
      </c>
      <c r="I111" s="57">
        <f t="shared" si="40"/>
        <v>30740000000</v>
      </c>
      <c r="J111" s="57">
        <f t="shared" ca="1" si="40"/>
        <v>31041278857.59214</v>
      </c>
      <c r="K111" s="57">
        <f t="shared" ca="1" si="40"/>
        <v>36809812897.123367</v>
      </c>
      <c r="L111" s="57">
        <f t="shared" ca="1" si="40"/>
        <v>44400653522.144791</v>
      </c>
      <c r="M111" s="57">
        <f t="shared" ca="1" si="40"/>
        <v>53531545133.574677</v>
      </c>
      <c r="N111" s="57">
        <f t="shared" ca="1" si="40"/>
        <v>65280532045.822311</v>
      </c>
    </row>
    <row r="112" spans="3:14" x14ac:dyDescent="0.2">
      <c r="C112" s="25"/>
      <c r="E112" s="57"/>
      <c r="F112" s="57"/>
      <c r="G112" s="57"/>
      <c r="H112" s="57"/>
      <c r="I112" s="57"/>
      <c r="J112" s="57"/>
      <c r="K112" s="57"/>
      <c r="L112" s="57"/>
      <c r="M112" s="57"/>
      <c r="N112" s="57"/>
    </row>
    <row r="113" spans="3:15" x14ac:dyDescent="0.2">
      <c r="C113" s="25" t="s">
        <v>146</v>
      </c>
      <c r="E113" s="79">
        <f>1310.3*10^6</f>
        <v>1310300000</v>
      </c>
      <c r="F113" s="79">
        <v>3028000000</v>
      </c>
      <c r="G113" s="79">
        <v>5323800000</v>
      </c>
      <c r="H113" s="79">
        <v>4334100000</v>
      </c>
      <c r="I113" s="79">
        <v>4477500000</v>
      </c>
      <c r="J113" s="57">
        <f ca="1">J114*J33</f>
        <v>4022110743.7570539</v>
      </c>
      <c r="K113" s="57">
        <f ca="1">K114*K33</f>
        <v>5167401258.8449535</v>
      </c>
      <c r="L113" s="57">
        <f ca="1">L114*L33</f>
        <v>6733521332.6795006</v>
      </c>
      <c r="M113" s="57">
        <f ca="1">M114*M33</f>
        <v>7628117738.3069191</v>
      </c>
      <c r="N113" s="57">
        <f ca="1">N114*N33</f>
        <v>8590434129.9087143</v>
      </c>
    </row>
    <row r="114" spans="3:15" x14ac:dyDescent="0.2">
      <c r="C114" s="8" t="s">
        <v>144</v>
      </c>
      <c r="E114" s="60">
        <f>E113/E33</f>
        <v>9.3736810101226878E-2</v>
      </c>
      <c r="F114" s="60">
        <f>F113/F33</f>
        <v>0.16269947880285854</v>
      </c>
      <c r="G114" s="60">
        <f>G113/G33</f>
        <v>0.25143812519481989</v>
      </c>
      <c r="H114" s="60">
        <f>H113/H33</f>
        <v>0.15726908213436872</v>
      </c>
      <c r="I114" s="60">
        <f>I113/I33</f>
        <v>0.15842323328462402</v>
      </c>
      <c r="J114" s="60">
        <f ca="1">OFFSET(J114,$D24,0)</f>
        <v>0.12</v>
      </c>
      <c r="K114" s="60">
        <f ca="1">OFFSET(K114,$D24,0)</f>
        <v>0.13</v>
      </c>
      <c r="L114" s="60">
        <f ca="1">OFFSET(L114,$D24,0)</f>
        <v>0.14000000000000001</v>
      </c>
      <c r="M114" s="60">
        <f ca="1">OFFSET(M114,$D24,0)</f>
        <v>0.13</v>
      </c>
      <c r="N114" s="60">
        <f ca="1">OFFSET(N114,$D24,0)</f>
        <v>0.12</v>
      </c>
    </row>
    <row r="115" spans="3:15" x14ac:dyDescent="0.2">
      <c r="C115" s="8" t="s">
        <v>102</v>
      </c>
      <c r="E115" s="60"/>
      <c r="F115" s="60"/>
      <c r="G115" s="60"/>
      <c r="H115" s="60"/>
      <c r="I115" s="60"/>
      <c r="J115" s="62">
        <v>0.18</v>
      </c>
      <c r="K115" s="62">
        <v>0.18</v>
      </c>
      <c r="L115" s="62">
        <v>0.19</v>
      </c>
      <c r="M115" s="62">
        <v>0.2</v>
      </c>
      <c r="N115" s="62">
        <v>0.19</v>
      </c>
    </row>
    <row r="116" spans="3:15" x14ac:dyDescent="0.2">
      <c r="C116" s="8" t="s">
        <v>103</v>
      </c>
      <c r="E116" s="60"/>
      <c r="F116" s="60"/>
      <c r="G116" s="60"/>
      <c r="H116" s="60"/>
      <c r="I116" s="60"/>
      <c r="J116" s="62">
        <v>0.15</v>
      </c>
      <c r="K116" s="62">
        <v>0.15</v>
      </c>
      <c r="L116" s="62">
        <v>0.15</v>
      </c>
      <c r="M116" s="62">
        <v>0.16</v>
      </c>
      <c r="N116" s="62">
        <v>0.15</v>
      </c>
    </row>
    <row r="117" spans="3:15" x14ac:dyDescent="0.2">
      <c r="C117" s="8" t="s">
        <v>104</v>
      </c>
      <c r="E117" s="60"/>
      <c r="F117" s="60"/>
      <c r="G117" s="60"/>
      <c r="H117" s="60"/>
      <c r="I117" s="60"/>
      <c r="J117" s="62">
        <v>0.12</v>
      </c>
      <c r="K117" s="62">
        <v>0.13</v>
      </c>
      <c r="L117" s="62">
        <v>0.14000000000000001</v>
      </c>
      <c r="M117" s="62">
        <v>0.13</v>
      </c>
      <c r="N117" s="62">
        <v>0.12</v>
      </c>
    </row>
    <row r="118" spans="3:15" x14ac:dyDescent="0.2">
      <c r="C118" s="8"/>
      <c r="E118" s="60"/>
      <c r="F118" s="60"/>
      <c r="G118" s="60"/>
      <c r="H118" s="60"/>
      <c r="I118" s="60"/>
      <c r="J118" s="60"/>
      <c r="K118" s="60"/>
      <c r="L118" s="60"/>
      <c r="M118" s="60"/>
      <c r="N118" s="60"/>
    </row>
    <row r="119" spans="3:15" x14ac:dyDescent="0.2">
      <c r="C119" s="25" t="s">
        <v>147</v>
      </c>
      <c r="E119" s="80">
        <f>4.57*10^9</f>
        <v>4570000000</v>
      </c>
      <c r="F119" s="81">
        <v>5179200000</v>
      </c>
      <c r="G119" s="79">
        <v>7199700000</v>
      </c>
      <c r="H119" s="79">
        <v>8850700000</v>
      </c>
      <c r="I119" s="79">
        <v>10891500000</v>
      </c>
      <c r="J119" s="57">
        <f ca="1">J120*J33</f>
        <v>10390452754.705723</v>
      </c>
      <c r="K119" s="57">
        <f ca="1">K120*K33</f>
        <v>12322264540.32258</v>
      </c>
      <c r="L119" s="57">
        <f ca="1">L120*L33</f>
        <v>14428974284.313215</v>
      </c>
      <c r="M119" s="57">
        <f ca="1">M120*M33</f>
        <v>16429792051.737982</v>
      </c>
      <c r="N119" s="57">
        <f ca="1">N120*N33</f>
        <v>21476085324.771786</v>
      </c>
    </row>
    <row r="120" spans="3:15" x14ac:dyDescent="0.2">
      <c r="C120" s="8" t="s">
        <v>144</v>
      </c>
      <c r="E120" s="60">
        <f>E119/E33</f>
        <v>0.32693064348821405</v>
      </c>
      <c r="F120" s="60">
        <f>F119/F33</f>
        <v>0.27828703454946002</v>
      </c>
      <c r="G120" s="60">
        <f>G119/G33</f>
        <v>0.34003513842840544</v>
      </c>
      <c r="H120" s="60">
        <f>H119/H33</f>
        <v>0.32116044051744469</v>
      </c>
      <c r="I120" s="60">
        <f>I119/I33</f>
        <v>0.38536385155097319</v>
      </c>
      <c r="J120" s="60">
        <f ca="1">OFFSET(J120,$D25,0)</f>
        <v>0.31</v>
      </c>
      <c r="K120" s="60">
        <f ca="1">OFFSET(K120,$D25,0)</f>
        <v>0.31</v>
      </c>
      <c r="L120" s="60">
        <f ca="1">OFFSET(L120,$D25,0)</f>
        <v>0.3</v>
      </c>
      <c r="M120" s="60">
        <f ca="1">OFFSET(M120,$D25,0)</f>
        <v>0.28000000000000003</v>
      </c>
      <c r="N120" s="60">
        <f ca="1">OFFSET(N120,$D25,0)</f>
        <v>0.3</v>
      </c>
    </row>
    <row r="121" spans="3:15" x14ac:dyDescent="0.2">
      <c r="C121" s="8" t="s">
        <v>102</v>
      </c>
      <c r="E121" s="60"/>
      <c r="F121" s="60"/>
      <c r="G121" s="60"/>
      <c r="H121" s="60"/>
      <c r="I121" s="60"/>
      <c r="J121" s="62">
        <v>0.36</v>
      </c>
      <c r="K121" s="62">
        <v>0.36</v>
      </c>
      <c r="L121" s="62">
        <v>0.38</v>
      </c>
      <c r="M121" s="62">
        <v>0.4</v>
      </c>
      <c r="N121" s="62">
        <v>0.38</v>
      </c>
    </row>
    <row r="122" spans="3:15" x14ac:dyDescent="0.2">
      <c r="C122" s="8" t="s">
        <v>103</v>
      </c>
      <c r="E122" s="60"/>
      <c r="F122" s="60"/>
      <c r="G122" s="60"/>
      <c r="H122" s="60"/>
      <c r="I122" s="60"/>
      <c r="J122" s="62">
        <v>0.32</v>
      </c>
      <c r="K122" s="62">
        <v>0.32</v>
      </c>
      <c r="L122" s="62">
        <v>0.33</v>
      </c>
      <c r="M122" s="62">
        <v>0.35</v>
      </c>
      <c r="N122" s="62">
        <v>0.34</v>
      </c>
    </row>
    <row r="123" spans="3:15" x14ac:dyDescent="0.2">
      <c r="C123" s="8" t="s">
        <v>104</v>
      </c>
      <c r="E123" s="60"/>
      <c r="F123" s="60"/>
      <c r="G123" s="60"/>
      <c r="H123" s="60"/>
      <c r="I123" s="60"/>
      <c r="J123" s="62">
        <v>0.31</v>
      </c>
      <c r="K123" s="62">
        <v>0.31</v>
      </c>
      <c r="L123" s="62">
        <v>0.3</v>
      </c>
      <c r="M123" s="62">
        <v>0.28000000000000003</v>
      </c>
      <c r="N123" s="62">
        <v>0.3</v>
      </c>
    </row>
    <row r="124" spans="3:15" x14ac:dyDescent="0.2">
      <c r="C124" s="8"/>
      <c r="E124" s="60"/>
      <c r="F124" s="60"/>
      <c r="G124" s="60"/>
      <c r="H124" s="60"/>
      <c r="I124" s="60"/>
      <c r="J124" s="60"/>
      <c r="K124" s="60"/>
      <c r="L124" s="60"/>
      <c r="M124" s="60"/>
      <c r="N124" s="60"/>
    </row>
    <row r="125" spans="3:15" x14ac:dyDescent="0.2">
      <c r="C125" s="25" t="s">
        <v>148</v>
      </c>
      <c r="E125" s="70">
        <v>3999700000</v>
      </c>
      <c r="F125" s="70">
        <v>9982800000</v>
      </c>
      <c r="G125" s="70">
        <v>10536500000</v>
      </c>
      <c r="H125" s="70">
        <v>11205200000</v>
      </c>
      <c r="I125" s="70">
        <v>15371000000</v>
      </c>
      <c r="J125" s="57">
        <f ca="1">J126*J33</f>
        <v>16628715359.129366</v>
      </c>
      <c r="K125" s="57">
        <f ca="1">K126*K33</f>
        <v>19320147097.955837</v>
      </c>
      <c r="L125" s="57">
        <f ca="1">L126*L33</f>
        <v>23238157905.152073</v>
      </c>
      <c r="M125" s="57">
        <f ca="1">M126*M33</f>
        <v>29473635343.529778</v>
      </c>
      <c r="N125" s="57">
        <f ca="1">N126*N33</f>
        <v>35214012591.141808</v>
      </c>
    </row>
    <row r="126" spans="3:15" x14ac:dyDescent="0.2">
      <c r="C126" s="8" t="s">
        <v>144</v>
      </c>
      <c r="E126" s="60">
        <f>E125/E33</f>
        <v>0.28613227456450979</v>
      </c>
      <c r="F126" s="60">
        <f>F125/F33</f>
        <v>0.53639245607436459</v>
      </c>
      <c r="G126" s="60">
        <f>G125/G33</f>
        <v>0.49762910066404076</v>
      </c>
      <c r="H126" s="60">
        <f>H125/H33</f>
        <v>0.40659687573706843</v>
      </c>
      <c r="I126" s="60">
        <f>I125/I33</f>
        <v>0.54385784898223466</v>
      </c>
      <c r="J126" s="59">
        <f>AVERAGE(F126:I126)</f>
        <v>0.49611907036442704</v>
      </c>
      <c r="K126" s="59">
        <f t="shared" ref="K126:O126" si="41">AVERAGE(G126:J126)</f>
        <v>0.48605072393694271</v>
      </c>
      <c r="L126" s="59">
        <f t="shared" si="41"/>
        <v>0.48315612975516825</v>
      </c>
      <c r="M126" s="59">
        <f t="shared" si="41"/>
        <v>0.50229594325969318</v>
      </c>
      <c r="N126" s="59">
        <f t="shared" si="41"/>
        <v>0.49190546682905778</v>
      </c>
      <c r="O126" s="59">
        <f t="shared" si="41"/>
        <v>0.49085206594521547</v>
      </c>
    </row>
    <row r="127" spans="3:15" x14ac:dyDescent="0.2">
      <c r="E127" s="60"/>
      <c r="F127" s="60"/>
      <c r="G127" s="60"/>
      <c r="H127" s="60"/>
      <c r="I127" s="60"/>
    </row>
    <row r="128" spans="3:15" x14ac:dyDescent="0.2">
      <c r="C128" s="8" t="s">
        <v>154</v>
      </c>
      <c r="D128" s="73"/>
      <c r="E128" s="60">
        <f t="shared" ref="E128:N128" si="42">E111/E33</f>
        <v>0.70679972815395076</v>
      </c>
      <c r="F128" s="60">
        <f t="shared" si="42"/>
        <v>0.97737896942668312</v>
      </c>
      <c r="G128" s="60">
        <f t="shared" si="42"/>
        <v>1.0891023642872661</v>
      </c>
      <c r="H128" s="60">
        <f t="shared" si="42"/>
        <v>0.88502639838888186</v>
      </c>
      <c r="I128" s="60">
        <f t="shared" si="42"/>
        <v>1.0876449338178318</v>
      </c>
      <c r="J128" s="59">
        <f t="shared" ca="1" si="42"/>
        <v>0.92611907036442698</v>
      </c>
      <c r="K128" s="59">
        <f t="shared" ca="1" si="42"/>
        <v>0.92605072393694265</v>
      </c>
      <c r="L128" s="59">
        <f t="shared" ca="1" si="42"/>
        <v>0.92315612975516836</v>
      </c>
      <c r="M128" s="59">
        <f t="shared" ca="1" si="42"/>
        <v>0.91229594325969321</v>
      </c>
      <c r="N128" s="59">
        <f t="shared" ca="1" si="42"/>
        <v>0.91190546682905782</v>
      </c>
    </row>
    <row r="130" spans="3:14" x14ac:dyDescent="0.2">
      <c r="C130" s="25" t="s">
        <v>151</v>
      </c>
      <c r="E130" s="79">
        <f t="shared" ref="E130:J130" si="43">E132+E138+E144</f>
        <v>6587600000</v>
      </c>
      <c r="F130" s="79">
        <f t="shared" si="43"/>
        <v>11788900000</v>
      </c>
      <c r="G130" s="79">
        <f t="shared" si="43"/>
        <v>17237400000</v>
      </c>
      <c r="H130" s="79">
        <f t="shared" si="43"/>
        <v>16274600000</v>
      </c>
      <c r="I130" s="79">
        <f t="shared" si="43"/>
        <v>19041100000</v>
      </c>
      <c r="J130" s="57">
        <f t="shared" ca="1" si="43"/>
        <v>21531420946.605598</v>
      </c>
      <c r="K130" s="57">
        <f t="shared" ref="K130:N130" ca="1" si="44">K132+K138+K144</f>
        <v>25984345832.8004</v>
      </c>
      <c r="L130" s="57">
        <f t="shared" ca="1" si="44"/>
        <v>32122619068.324696</v>
      </c>
      <c r="M130" s="57">
        <f t="shared" ca="1" si="44"/>
        <v>40194031225.839287</v>
      </c>
      <c r="N130" s="57">
        <f t="shared" ca="1" si="44"/>
        <v>47939079079.775017</v>
      </c>
    </row>
    <row r="131" spans="3:14" x14ac:dyDescent="0.2">
      <c r="C131" s="25"/>
      <c r="E131" s="79"/>
      <c r="F131" s="79"/>
      <c r="G131" s="79"/>
      <c r="H131" s="79"/>
      <c r="I131" s="79"/>
      <c r="J131" s="57"/>
      <c r="K131" s="57"/>
      <c r="L131" s="57"/>
      <c r="M131" s="57"/>
      <c r="N131" s="57"/>
    </row>
    <row r="132" spans="3:14" x14ac:dyDescent="0.2">
      <c r="C132" s="25" t="s">
        <v>150</v>
      </c>
      <c r="E132" s="79">
        <f>1377.9*10^6</f>
        <v>1377900000</v>
      </c>
      <c r="F132" s="79">
        <v>2116300000</v>
      </c>
      <c r="G132" s="79">
        <v>2565200000</v>
      </c>
      <c r="H132" s="79">
        <v>2347300000</v>
      </c>
      <c r="I132" s="79">
        <v>3500400000</v>
      </c>
      <c r="J132" s="57">
        <f ca="1">J133*J39</f>
        <v>3217688595.0056438</v>
      </c>
      <c r="K132" s="57">
        <f t="shared" ref="K132:N132" ca="1" si="45">K133*K39</f>
        <v>3815927083.4547348</v>
      </c>
      <c r="L132" s="57">
        <f t="shared" ca="1" si="45"/>
        <v>4295024678.6305666</v>
      </c>
      <c r="M132" s="57">
        <f t="shared" ca="1" si="45"/>
        <v>5128442233.2924976</v>
      </c>
      <c r="N132" s="57">
        <f t="shared" ca="1" si="45"/>
        <v>6485191390.7062445</v>
      </c>
    </row>
    <row r="133" spans="3:14" x14ac:dyDescent="0.2">
      <c r="C133" s="8" t="s">
        <v>145</v>
      </c>
      <c r="E133" s="60">
        <f>E132/E39</f>
        <v>0.19187333769651735</v>
      </c>
      <c r="F133" s="60">
        <f>F132/F39</f>
        <v>0.24043399227448306</v>
      </c>
      <c r="G133" s="60">
        <f>G132/G39</f>
        <v>0.24492757774531426</v>
      </c>
      <c r="H133" s="60">
        <f>H132/H39</f>
        <v>0.17487930623435452</v>
      </c>
      <c r="I133" s="60">
        <f>I132/I39</f>
        <v>0.25418817942182426</v>
      </c>
      <c r="J133" s="60">
        <f ca="1">OFFSET(J133,$D26,0)</f>
        <v>0.2</v>
      </c>
      <c r="K133" s="60">
        <f ca="1">OFFSET(K133,$D26,0)</f>
        <v>0.2</v>
      </c>
      <c r="L133" s="60">
        <f ca="1">OFFSET(L133,$D26,0)</f>
        <v>0.19</v>
      </c>
      <c r="M133" s="60">
        <f ca="1">OFFSET(M133,$D26,0)</f>
        <v>0.19</v>
      </c>
      <c r="N133" s="60">
        <f ca="1">OFFSET(N133,$D26,0)</f>
        <v>0.2</v>
      </c>
    </row>
    <row r="134" spans="3:14" x14ac:dyDescent="0.2">
      <c r="C134" s="8" t="s">
        <v>102</v>
      </c>
      <c r="E134" s="60"/>
      <c r="F134" s="60"/>
      <c r="G134" s="60"/>
      <c r="H134" s="60"/>
      <c r="I134" s="60"/>
      <c r="J134" s="62">
        <v>0.24</v>
      </c>
      <c r="K134" s="62">
        <v>0.24</v>
      </c>
      <c r="L134" s="62">
        <v>0.25</v>
      </c>
      <c r="M134" s="62">
        <v>0.26</v>
      </c>
      <c r="N134" s="62">
        <v>0.25</v>
      </c>
    </row>
    <row r="135" spans="3:14" x14ac:dyDescent="0.2">
      <c r="C135" s="8" t="s">
        <v>103</v>
      </c>
      <c r="E135" s="60"/>
      <c r="F135" s="60"/>
      <c r="G135" s="60"/>
      <c r="H135" s="60"/>
      <c r="I135" s="60"/>
      <c r="J135" s="83">
        <f>AVERAGE(E133:I133)</f>
        <v>0.22126047867449872</v>
      </c>
      <c r="K135" s="62">
        <v>0.22</v>
      </c>
      <c r="L135" s="62">
        <v>0.23</v>
      </c>
      <c r="M135" s="62">
        <v>0.24</v>
      </c>
      <c r="N135" s="62">
        <v>0.22</v>
      </c>
    </row>
    <row r="136" spans="3:14" x14ac:dyDescent="0.2">
      <c r="C136" s="8" t="s">
        <v>104</v>
      </c>
      <c r="E136" s="60"/>
      <c r="F136" s="60"/>
      <c r="G136" s="60"/>
      <c r="H136" s="60"/>
      <c r="I136" s="60"/>
      <c r="J136" s="62">
        <v>0.2</v>
      </c>
      <c r="K136" s="62">
        <v>0.2</v>
      </c>
      <c r="L136" s="62">
        <v>0.19</v>
      </c>
      <c r="M136" s="62">
        <v>0.19</v>
      </c>
      <c r="N136" s="62">
        <v>0.2</v>
      </c>
    </row>
    <row r="137" spans="3:14" x14ac:dyDescent="0.2">
      <c r="C137" s="8"/>
      <c r="E137" s="60"/>
      <c r="F137" s="60"/>
      <c r="G137" s="60"/>
      <c r="H137" s="60"/>
      <c r="I137" s="60"/>
      <c r="J137" s="60"/>
      <c r="K137" s="60"/>
      <c r="L137" s="60"/>
      <c r="M137" s="60"/>
      <c r="N137" s="60"/>
    </row>
    <row r="138" spans="3:14" x14ac:dyDescent="0.2">
      <c r="C138" s="25" t="s">
        <v>149</v>
      </c>
      <c r="E138" s="79">
        <f>3954.2*10^6</f>
        <v>3954200000</v>
      </c>
      <c r="F138" s="79">
        <f>7935.2*10^6</f>
        <v>7935200000</v>
      </c>
      <c r="G138" s="79">
        <f>12481*10^6</f>
        <v>12481000000</v>
      </c>
      <c r="H138" s="79">
        <f>11441*10^6</f>
        <v>11441000000</v>
      </c>
      <c r="I138" s="79">
        <f>12570.8*10^6</f>
        <v>12570800000</v>
      </c>
      <c r="J138" s="57">
        <f ca="1">J139*J33</f>
        <v>15082915289.088953</v>
      </c>
      <c r="K138" s="57">
        <f t="shared" ref="K138:N138" ca="1" si="46">K139*K33</f>
        <v>18284650608.220604</v>
      </c>
      <c r="L138" s="57">
        <f t="shared" ca="1" si="46"/>
        <v>23086358854.901142</v>
      </c>
      <c r="M138" s="57">
        <f t="shared" ca="1" si="46"/>
        <v>29338914378.103535</v>
      </c>
      <c r="N138" s="57">
        <f t="shared" ca="1" si="46"/>
        <v>34361736519.634857</v>
      </c>
    </row>
    <row r="139" spans="3:14" x14ac:dyDescent="0.2">
      <c r="C139" s="8" t="s">
        <v>144</v>
      </c>
      <c r="E139" s="60">
        <f>E138/E33</f>
        <v>0.28287727581643241</v>
      </c>
      <c r="F139" s="60">
        <f>F138/F33</f>
        <v>0.42637150072537744</v>
      </c>
      <c r="G139" s="60">
        <f>G138/G33</f>
        <v>0.58946602812963433</v>
      </c>
      <c r="H139" s="60">
        <f>H138/H33</f>
        <v>0.41515321951485024</v>
      </c>
      <c r="I139" s="60">
        <f>I138/I33</f>
        <v>0.4447809672751204</v>
      </c>
      <c r="J139" s="60">
        <f ca="1">OFFSET(J139,$D27,0)</f>
        <v>0.45</v>
      </c>
      <c r="K139" s="60">
        <f ca="1">OFFSET(K139,$D27,0)</f>
        <v>0.46</v>
      </c>
      <c r="L139" s="60">
        <f ca="1">OFFSET(L139,$D27,0)</f>
        <v>0.48</v>
      </c>
      <c r="M139" s="60">
        <f ca="1">OFFSET(M139,$D27,0)</f>
        <v>0.5</v>
      </c>
      <c r="N139" s="60">
        <f ca="1">OFFSET(N139,$D27,0)</f>
        <v>0.48</v>
      </c>
    </row>
    <row r="140" spans="3:14" x14ac:dyDescent="0.2">
      <c r="C140" s="8" t="s">
        <v>102</v>
      </c>
      <c r="E140" s="60"/>
      <c r="F140" s="60"/>
      <c r="G140" s="60"/>
      <c r="H140" s="60"/>
      <c r="I140" s="60"/>
      <c r="J140" s="62">
        <v>0.4</v>
      </c>
      <c r="K140" s="62">
        <v>0.39</v>
      </c>
      <c r="L140" s="62">
        <v>0.37</v>
      </c>
      <c r="M140" s="62">
        <v>0.39</v>
      </c>
      <c r="N140" s="62">
        <v>0.38</v>
      </c>
    </row>
    <row r="141" spans="3:14" x14ac:dyDescent="0.2">
      <c r="C141" s="8" t="s">
        <v>103</v>
      </c>
      <c r="E141" s="60"/>
      <c r="F141" s="60"/>
      <c r="G141" s="60"/>
      <c r="H141" s="60"/>
      <c r="I141" s="60"/>
      <c r="J141" s="83">
        <f>AVERAGE(E139:I139)</f>
        <v>0.43172979829228292</v>
      </c>
      <c r="K141" s="62">
        <f t="shared" ref="K141:N141" ca="1" si="47">AVERAGE(F139:J139)</f>
        <v>0.46515434312899651</v>
      </c>
      <c r="L141" s="62">
        <f t="shared" ca="1" si="47"/>
        <v>0.47188004298392106</v>
      </c>
      <c r="M141" s="62">
        <v>0.47</v>
      </c>
      <c r="N141" s="62">
        <f t="shared" ca="1" si="47"/>
        <v>0.46695619345502404</v>
      </c>
    </row>
    <row r="142" spans="3:14" x14ac:dyDescent="0.2">
      <c r="C142" s="8" t="s">
        <v>104</v>
      </c>
      <c r="E142" s="60"/>
      <c r="F142" s="60"/>
      <c r="G142" s="60"/>
      <c r="H142" s="60"/>
      <c r="I142" s="60"/>
      <c r="J142" s="62">
        <v>0.45</v>
      </c>
      <c r="K142" s="62">
        <v>0.46</v>
      </c>
      <c r="L142" s="62">
        <v>0.48</v>
      </c>
      <c r="M142" s="62">
        <v>0.5</v>
      </c>
      <c r="N142" s="62">
        <v>0.48</v>
      </c>
    </row>
    <row r="143" spans="3:14" x14ac:dyDescent="0.2">
      <c r="C143" s="8"/>
      <c r="E143" s="82"/>
      <c r="F143" s="82"/>
      <c r="G143" s="82"/>
      <c r="H143" s="82"/>
      <c r="I143" s="82"/>
      <c r="J143" s="60"/>
      <c r="K143" s="60"/>
      <c r="L143" s="60"/>
      <c r="M143" s="60"/>
      <c r="N143" s="60"/>
    </row>
    <row r="144" spans="3:14" x14ac:dyDescent="0.2">
      <c r="C144" s="25" t="s">
        <v>148</v>
      </c>
      <c r="E144" s="54">
        <v>1255500000</v>
      </c>
      <c r="F144" s="54">
        <v>1737400000</v>
      </c>
      <c r="G144" s="54">
        <v>2191200000</v>
      </c>
      <c r="H144" s="54">
        <v>2486300000</v>
      </c>
      <c r="I144" s="54">
        <v>2969900000</v>
      </c>
      <c r="J144" s="57">
        <f ca="1">J145*J33</f>
        <v>3230817062.5110002</v>
      </c>
      <c r="K144" s="57">
        <f t="shared" ref="K144:N144" ca="1" si="48">K145*K33</f>
        <v>3883768141.125062</v>
      </c>
      <c r="L144" s="57">
        <f t="shared" ca="1" si="48"/>
        <v>4741235534.7929878</v>
      </c>
      <c r="M144" s="57">
        <f t="shared" ca="1" si="48"/>
        <v>5726674614.4432497</v>
      </c>
      <c r="N144" s="57">
        <f t="shared" ca="1" si="48"/>
        <v>7092151169.4339132</v>
      </c>
    </row>
    <row r="145" spans="3:14" x14ac:dyDescent="0.2">
      <c r="C145" s="8" t="s">
        <v>144</v>
      </c>
      <c r="E145" s="60">
        <f>E144/E33</f>
        <v>8.9816503916729268E-2</v>
      </c>
      <c r="F145" s="60">
        <f>F144/F33</f>
        <v>9.3353393154586004E-2</v>
      </c>
      <c r="G145" s="60">
        <f>G144/G33</f>
        <v>0.103488339142509</v>
      </c>
      <c r="H145" s="60">
        <f>H144/H33</f>
        <v>9.021898869677232E-2</v>
      </c>
      <c r="I145" s="60">
        <f>I144/I33</f>
        <v>0.10508121954930315</v>
      </c>
      <c r="J145" s="23">
        <f>AVERAGE(E145:I145)</f>
        <v>9.6391688891979938E-2</v>
      </c>
      <c r="K145" s="23">
        <f t="shared" ref="K145:N145" si="49">AVERAGE(F145:J145)</f>
        <v>9.7706725887030083E-2</v>
      </c>
      <c r="L145" s="23">
        <f t="shared" si="49"/>
        <v>9.8577392433518901E-2</v>
      </c>
      <c r="M145" s="23">
        <f t="shared" si="49"/>
        <v>9.75952030917209E-2</v>
      </c>
      <c r="N145" s="23">
        <f t="shared" si="49"/>
        <v>9.9070445970710602E-2</v>
      </c>
    </row>
    <row r="146" spans="3:14" x14ac:dyDescent="0.2">
      <c r="C146" s="8"/>
      <c r="E146" s="60"/>
      <c r="F146" s="60"/>
      <c r="G146" s="60"/>
      <c r="H146" s="60"/>
      <c r="I146" s="60"/>
    </row>
    <row r="147" spans="3:14" x14ac:dyDescent="0.2">
      <c r="C147" s="8" t="s">
        <v>153</v>
      </c>
      <c r="E147" s="60">
        <f t="shared" ref="E147:J147" si="50">E130/E33</f>
        <v>0.47126658797438925</v>
      </c>
      <c r="F147" s="60">
        <f t="shared" si="50"/>
        <v>0.63343721455053459</v>
      </c>
      <c r="G147" s="60">
        <f t="shared" si="50"/>
        <v>0.81410637875825331</v>
      </c>
      <c r="H147" s="60">
        <f t="shared" si="50"/>
        <v>0.59054738102581783</v>
      </c>
      <c r="I147" s="60">
        <f t="shared" si="50"/>
        <v>0.67371359626931415</v>
      </c>
      <c r="J147" s="60">
        <f t="shared" ca="1" si="50"/>
        <v>0.64239168889197995</v>
      </c>
      <c r="K147" s="60">
        <f t="shared" ref="K147:N147" ca="1" si="51">K130/K33</f>
        <v>0.65370672588703005</v>
      </c>
      <c r="L147" s="60">
        <f t="shared" ca="1" si="51"/>
        <v>0.66787739243351885</v>
      </c>
      <c r="M147" s="60">
        <f t="shared" ca="1" si="51"/>
        <v>0.68499520309172102</v>
      </c>
      <c r="N147" s="60">
        <f t="shared" ca="1" si="51"/>
        <v>0.66966225484975961</v>
      </c>
    </row>
    <row r="149" spans="3:14" x14ac:dyDescent="0.2">
      <c r="C149" s="25" t="s">
        <v>142</v>
      </c>
      <c r="E149" s="57">
        <f t="shared" ref="E149:N149" si="52">E111-E130</f>
        <v>3292400000</v>
      </c>
      <c r="F149" s="57">
        <f t="shared" si="52"/>
        <v>6401100000</v>
      </c>
      <c r="G149" s="57">
        <f t="shared" si="52"/>
        <v>5822600000</v>
      </c>
      <c r="H149" s="57">
        <f t="shared" si="52"/>
        <v>8115400000</v>
      </c>
      <c r="I149" s="57">
        <f t="shared" si="52"/>
        <v>11698900000</v>
      </c>
      <c r="J149" s="57">
        <f t="shared" ca="1" si="52"/>
        <v>9509857910.9865417</v>
      </c>
      <c r="K149" s="57">
        <f t="shared" ca="1" si="52"/>
        <v>10825467064.322968</v>
      </c>
      <c r="L149" s="57">
        <f t="shared" ca="1" si="52"/>
        <v>12278034453.820095</v>
      </c>
      <c r="M149" s="57">
        <f t="shared" ca="1" si="52"/>
        <v>13337513907.73539</v>
      </c>
      <c r="N149" s="57">
        <f t="shared" ca="1" si="52"/>
        <v>17341452966.047295</v>
      </c>
    </row>
    <row r="150" spans="3:14" x14ac:dyDescent="0.2">
      <c r="C150" s="8" t="s">
        <v>108</v>
      </c>
      <c r="E150" s="60">
        <f t="shared" ref="E150:N150" si="53">E149/E33</f>
        <v>0.23553314017956148</v>
      </c>
      <c r="F150" s="60">
        <f t="shared" si="53"/>
        <v>0.34394175487614853</v>
      </c>
      <c r="G150" s="60">
        <f t="shared" si="53"/>
        <v>0.27499598552901283</v>
      </c>
      <c r="H150" s="60">
        <f t="shared" si="53"/>
        <v>0.29447901736306403</v>
      </c>
      <c r="I150" s="60">
        <f t="shared" si="53"/>
        <v>0.41393133754851769</v>
      </c>
      <c r="J150" s="60">
        <f t="shared" ca="1" si="53"/>
        <v>0.28372738147244697</v>
      </c>
      <c r="K150" s="60">
        <f t="shared" ca="1" si="53"/>
        <v>0.27234399804991255</v>
      </c>
      <c r="L150" s="60">
        <f t="shared" ca="1" si="53"/>
        <v>0.25527873732164946</v>
      </c>
      <c r="M150" s="60">
        <f t="shared" ca="1" si="53"/>
        <v>0.22730074016797219</v>
      </c>
      <c r="N150" s="60">
        <f t="shared" ca="1" si="53"/>
        <v>0.24224321197929827</v>
      </c>
    </row>
    <row r="151" spans="3:14" x14ac:dyDescent="0.2">
      <c r="C151" s="8"/>
      <c r="E151" s="60"/>
      <c r="F151" s="60"/>
      <c r="G151" s="60"/>
      <c r="H151" s="60"/>
      <c r="I151" s="60"/>
      <c r="J151" s="60"/>
      <c r="K151" s="60"/>
      <c r="L151" s="60"/>
      <c r="M151" s="60"/>
      <c r="N151" s="60"/>
    </row>
    <row r="152" spans="3:14" x14ac:dyDescent="0.2">
      <c r="C152" s="25" t="s">
        <v>133</v>
      </c>
      <c r="E152" s="57"/>
      <c r="F152" s="57">
        <f>F149-E149</f>
        <v>3108700000</v>
      </c>
      <c r="G152" s="57">
        <f>G149-F149</f>
        <v>-578500000</v>
      </c>
      <c r="H152" s="57">
        <f>H149-G149</f>
        <v>2292800000</v>
      </c>
      <c r="I152" s="57">
        <f>I149-H149</f>
        <v>3583500000</v>
      </c>
      <c r="J152" s="54">
        <f ca="1">J149-I149</f>
        <v>-2189042089.0134583</v>
      </c>
      <c r="K152" s="54">
        <f t="shared" ref="K152:N152" ca="1" si="54">K149-J149</f>
        <v>1315609153.3364258</v>
      </c>
      <c r="L152" s="54">
        <f t="shared" ca="1" si="54"/>
        <v>1452567389.4971275</v>
      </c>
      <c r="M152" s="84">
        <f ca="1">-20%*(M33-L33)</f>
        <v>-2116249561.6992707</v>
      </c>
      <c r="N152" s="54">
        <f t="shared" ca="1" si="54"/>
        <v>4003939058.3119049</v>
      </c>
    </row>
    <row r="153" spans="3:14" x14ac:dyDescent="0.2">
      <c r="C153" s="8" t="s">
        <v>143</v>
      </c>
      <c r="E153" s="60"/>
      <c r="F153" s="60">
        <f>F152/F33</f>
        <v>0.16703562409327816</v>
      </c>
      <c r="G153" s="60">
        <f>G152/G33</f>
        <v>-2.7322017248056524E-2</v>
      </c>
      <c r="H153" s="60">
        <f>H152/H33</f>
        <v>8.3197561550882662E-2</v>
      </c>
      <c r="I153" s="60">
        <f>I152/I33</f>
        <v>0.12679165973767731</v>
      </c>
      <c r="J153" s="55">
        <f ca="1">J152/J33</f>
        <v>-6.5310248130125037E-2</v>
      </c>
      <c r="K153" s="55">
        <f t="shared" ref="K153:N153" ca="1" si="55">K152/K33</f>
        <v>3.3097718053342107E-2</v>
      </c>
      <c r="L153" s="55">
        <f t="shared" ca="1" si="55"/>
        <v>3.0201052982878739E-2</v>
      </c>
      <c r="M153" s="55">
        <f t="shared" ca="1" si="55"/>
        <v>-3.6065573770491792E-2</v>
      </c>
      <c r="N153" s="55">
        <f t="shared" ca="1" si="55"/>
        <v>5.5931129874403018E-2</v>
      </c>
    </row>
    <row r="162" spans="15:16" x14ac:dyDescent="0.2">
      <c r="O162" s="55"/>
      <c r="P162" s="55"/>
    </row>
  </sheetData>
  <pageMargins left="0.7" right="0.7" top="0.75" bottom="0.75" header="0.3" footer="0.3"/>
  <pageSetup paperSize="9" scale="2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9D3D-A103-F94C-B730-1CBB21DEC72E}">
  <sheetPr>
    <tabColor theme="3" tint="0.499984740745262"/>
  </sheetPr>
  <dimension ref="C1:R17"/>
  <sheetViews>
    <sheetView showGridLines="0" tabSelected="1" zoomScale="134" zoomScaleNormal="75" workbookViewId="0">
      <selection activeCell="F20" sqref="F20"/>
    </sheetView>
  </sheetViews>
  <sheetFormatPr baseColWidth="10" defaultRowHeight="16" x14ac:dyDescent="0.2"/>
  <cols>
    <col min="1" max="2" width="1.83203125" customWidth="1"/>
    <col min="3" max="3" width="45.83203125" customWidth="1"/>
    <col min="4" max="17" width="23.33203125" customWidth="1"/>
  </cols>
  <sheetData>
    <row r="1" spans="3:18" s="1" customFormat="1" x14ac:dyDescent="0.2"/>
    <row r="2" spans="3:18" s="1" customFormat="1" x14ac:dyDescent="0.2"/>
    <row r="3" spans="3:18" s="1" customFormat="1" ht="22" x14ac:dyDescent="0.3">
      <c r="C3" s="10" t="s">
        <v>19</v>
      </c>
      <c r="D3" s="10"/>
    </row>
    <row r="5" spans="3:18" x14ac:dyDescent="0.2">
      <c r="C5" s="3" t="s">
        <v>27</v>
      </c>
      <c r="D5" s="3"/>
      <c r="E5" s="3" t="s">
        <v>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3:18" x14ac:dyDescent="0.2">
      <c r="C6" t="s">
        <v>20</v>
      </c>
      <c r="D6" s="51">
        <f>D8*D15+D12*D16*(1-D17)</f>
        <v>8.0458927154621468E-2</v>
      </c>
    </row>
    <row r="7" spans="3:18" x14ac:dyDescent="0.2">
      <c r="D7" s="52"/>
    </row>
    <row r="8" spans="3:18" x14ac:dyDescent="0.2">
      <c r="C8" t="s">
        <v>21</v>
      </c>
      <c r="D8" s="51">
        <f>D9+D11*D10</f>
        <v>8.1376000000000004E-2</v>
      </c>
      <c r="E8" t="s">
        <v>22</v>
      </c>
    </row>
    <row r="9" spans="3:18" x14ac:dyDescent="0.2">
      <c r="C9" t="s">
        <v>24</v>
      </c>
      <c r="D9" s="52">
        <v>2.8549999999999999E-2</v>
      </c>
      <c r="E9" t="s">
        <v>25</v>
      </c>
    </row>
    <row r="10" spans="3:18" x14ac:dyDescent="0.2">
      <c r="C10" t="s">
        <v>32</v>
      </c>
      <c r="D10" s="52">
        <v>4.3299999999999998E-2</v>
      </c>
      <c r="E10" t="s">
        <v>131</v>
      </c>
    </row>
    <row r="11" spans="3:18" x14ac:dyDescent="0.2">
      <c r="C11" t="s">
        <v>26</v>
      </c>
      <c r="D11" s="53">
        <v>1.22</v>
      </c>
      <c r="E11" t="s">
        <v>132</v>
      </c>
    </row>
    <row r="12" spans="3:18" x14ac:dyDescent="0.2">
      <c r="C12" t="s">
        <v>33</v>
      </c>
      <c r="D12" s="52">
        <f>Financials!H14/Financials!H24</f>
        <v>3.4687260005119888E-2</v>
      </c>
      <c r="E12" t="s">
        <v>98</v>
      </c>
    </row>
    <row r="13" spans="3:18" x14ac:dyDescent="0.2">
      <c r="C13" t="s">
        <v>28</v>
      </c>
      <c r="D13" s="54">
        <v>266921660764</v>
      </c>
      <c r="E13" t="s">
        <v>98</v>
      </c>
    </row>
    <row r="14" spans="3:18" x14ac:dyDescent="0.2">
      <c r="C14" t="s">
        <v>29</v>
      </c>
      <c r="D14" s="88">
        <v>4687600000</v>
      </c>
      <c r="E14" t="s">
        <v>98</v>
      </c>
    </row>
    <row r="15" spans="3:18" x14ac:dyDescent="0.2">
      <c r="C15" t="s">
        <v>30</v>
      </c>
      <c r="D15" s="52">
        <f>D13/(D13+D14)</f>
        <v>0.98274138375541975</v>
      </c>
    </row>
    <row r="16" spans="3:18" x14ac:dyDescent="0.2">
      <c r="C16" t="s">
        <v>31</v>
      </c>
      <c r="D16" s="52">
        <f>1-D15</f>
        <v>1.7258616244580249E-2</v>
      </c>
    </row>
    <row r="17" spans="3:5" x14ac:dyDescent="0.2">
      <c r="C17" t="s">
        <v>96</v>
      </c>
      <c r="D17" s="52">
        <v>0.18590000000000001</v>
      </c>
      <c r="E17" t="s">
        <v>97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F211-A3F3-2342-A4D3-1D5CFFBE6938}">
  <sheetPr>
    <tabColor theme="3" tint="9.9978637043366805E-2"/>
  </sheetPr>
  <dimension ref="A1:H70"/>
  <sheetViews>
    <sheetView topLeftCell="A13" zoomScale="125" workbookViewId="0">
      <selection activeCell="D34" sqref="D34:H34"/>
    </sheetView>
  </sheetViews>
  <sheetFormatPr baseColWidth="10" defaultRowHeight="16" x14ac:dyDescent="0.2"/>
  <cols>
    <col min="1" max="1" width="3.33203125" customWidth="1"/>
    <col min="2" max="8" width="23.33203125" customWidth="1"/>
  </cols>
  <sheetData>
    <row r="1" spans="1:8" x14ac:dyDescent="0.2">
      <c r="A1" s="1"/>
      <c r="B1" s="36" t="s">
        <v>3</v>
      </c>
      <c r="C1" s="36" t="s">
        <v>34</v>
      </c>
      <c r="D1" s="48">
        <v>959.6</v>
      </c>
      <c r="E1" s="49"/>
      <c r="F1" s="3"/>
      <c r="G1" s="50"/>
      <c r="H1" s="50"/>
    </row>
    <row r="2" spans="1:8" x14ac:dyDescent="0.2">
      <c r="A2" s="37"/>
      <c r="B2" s="38" t="s">
        <v>35</v>
      </c>
      <c r="C2" s="37"/>
      <c r="D2" s="37"/>
      <c r="E2" s="37"/>
      <c r="F2" s="37"/>
      <c r="G2" s="37"/>
      <c r="H2" s="37"/>
    </row>
    <row r="4" spans="1:8" x14ac:dyDescent="0.2">
      <c r="A4" s="45" t="s">
        <v>36</v>
      </c>
      <c r="B4" s="45" t="s">
        <v>37</v>
      </c>
      <c r="C4" s="46"/>
      <c r="D4" s="47">
        <v>2020</v>
      </c>
      <c r="E4" s="47">
        <v>2021</v>
      </c>
      <c r="F4" s="47">
        <v>2022</v>
      </c>
      <c r="G4" s="47">
        <v>2023</v>
      </c>
      <c r="H4" s="47">
        <v>2024</v>
      </c>
    </row>
    <row r="5" spans="1:8" x14ac:dyDescent="0.2">
      <c r="A5" s="4">
        <v>1</v>
      </c>
      <c r="B5" s="4" t="s">
        <v>38</v>
      </c>
      <c r="C5" s="4"/>
      <c r="D5" s="12">
        <v>13978500000</v>
      </c>
      <c r="E5" s="12">
        <v>18611000000</v>
      </c>
      <c r="F5" s="12">
        <v>21173400000</v>
      </c>
      <c r="G5" s="12">
        <v>27558500000</v>
      </c>
      <c r="H5" s="12">
        <v>28262900000</v>
      </c>
    </row>
    <row r="6" spans="1:8" x14ac:dyDescent="0.2">
      <c r="A6" s="4">
        <v>2</v>
      </c>
      <c r="B6" s="4" t="s">
        <v>39</v>
      </c>
      <c r="C6" s="4"/>
      <c r="D6" s="12">
        <v>6797200000</v>
      </c>
      <c r="E6" s="12">
        <v>9809000000</v>
      </c>
      <c r="F6" s="12">
        <v>10700100000</v>
      </c>
      <c r="G6" s="12">
        <v>14136100000</v>
      </c>
      <c r="H6" s="12">
        <v>14492000000</v>
      </c>
    </row>
    <row r="7" spans="1:8" x14ac:dyDescent="0.2">
      <c r="A7" s="4">
        <v>3</v>
      </c>
      <c r="B7" s="4" t="s">
        <v>40</v>
      </c>
      <c r="C7" s="4"/>
      <c r="D7" s="12">
        <v>4051500000</v>
      </c>
      <c r="E7" s="12">
        <v>6760100000</v>
      </c>
      <c r="F7" s="12">
        <v>6516900000</v>
      </c>
      <c r="G7" s="12">
        <v>9236200000</v>
      </c>
      <c r="H7" s="12">
        <v>9205000000</v>
      </c>
    </row>
    <row r="8" spans="1:8" x14ac:dyDescent="0.2">
      <c r="A8" s="4">
        <v>4</v>
      </c>
      <c r="B8" s="4" t="s">
        <v>41</v>
      </c>
      <c r="C8" s="4"/>
      <c r="D8" s="12">
        <v>3553700000</v>
      </c>
      <c r="E8" s="12">
        <v>5883200000</v>
      </c>
      <c r="F8" s="12">
        <v>5624200000</v>
      </c>
      <c r="G8" s="12">
        <v>7839000000</v>
      </c>
      <c r="H8" s="12">
        <v>7571600000</v>
      </c>
    </row>
    <row r="9" spans="1:8" x14ac:dyDescent="0.2">
      <c r="A9" s="4">
        <v>5</v>
      </c>
      <c r="B9" s="4" t="s">
        <v>42</v>
      </c>
      <c r="C9" s="4"/>
      <c r="D9" s="12">
        <v>-34900000</v>
      </c>
      <c r="E9" s="12">
        <v>-44600000</v>
      </c>
      <c r="F9" s="12">
        <v>-44600000</v>
      </c>
      <c r="G9" s="12">
        <v>41200000</v>
      </c>
      <c r="H9" s="12">
        <v>19800000</v>
      </c>
    </row>
    <row r="10" spans="1:8" x14ac:dyDescent="0.2">
      <c r="A10" s="4">
        <v>5</v>
      </c>
      <c r="B10" s="4" t="s">
        <v>43</v>
      </c>
      <c r="C10" s="4"/>
      <c r="D10" s="12">
        <v>43300000</v>
      </c>
      <c r="E10" s="12">
        <v>54600000</v>
      </c>
      <c r="F10" s="12">
        <v>60800000</v>
      </c>
      <c r="G10" s="12">
        <v>152700000</v>
      </c>
      <c r="H10" s="12">
        <v>162600000</v>
      </c>
    </row>
    <row r="11" spans="1:8" x14ac:dyDescent="0.2">
      <c r="A11" s="4">
        <v>6</v>
      </c>
      <c r="B11" s="4" t="s">
        <v>95</v>
      </c>
      <c r="C11" s="4"/>
      <c r="D11" s="34">
        <v>490800000</v>
      </c>
      <c r="E11" s="34">
        <v>471000000</v>
      </c>
      <c r="F11" s="34">
        <v>583600000</v>
      </c>
      <c r="G11" s="34">
        <v>739800000</v>
      </c>
      <c r="H11" s="34">
        <v>918600000</v>
      </c>
    </row>
    <row r="12" spans="1:8" x14ac:dyDescent="0.2">
      <c r="A12" s="4">
        <v>7</v>
      </c>
      <c r="B12" s="4" t="s">
        <v>41</v>
      </c>
      <c r="C12" s="4"/>
      <c r="D12" s="12">
        <v>3553700000</v>
      </c>
      <c r="E12" s="12">
        <v>5883200000</v>
      </c>
      <c r="F12" s="12">
        <v>5624200000</v>
      </c>
      <c r="G12" s="12">
        <v>7839000000</v>
      </c>
      <c r="H12" s="12">
        <v>7571600000</v>
      </c>
    </row>
    <row r="13" spans="1:8" x14ac:dyDescent="0.2">
      <c r="A13" s="4">
        <v>8</v>
      </c>
      <c r="B13" s="4" t="s">
        <v>42</v>
      </c>
      <c r="C13" s="4"/>
      <c r="D13" s="12">
        <v>-34900000</v>
      </c>
      <c r="E13" s="12">
        <v>-44600000</v>
      </c>
      <c r="F13" s="12">
        <v>-44600000</v>
      </c>
      <c r="G13" s="12">
        <v>41200000</v>
      </c>
      <c r="H13" s="12">
        <v>19800000</v>
      </c>
    </row>
    <row r="14" spans="1:8" x14ac:dyDescent="0.2">
      <c r="A14" s="4">
        <v>9</v>
      </c>
      <c r="B14" s="4" t="s">
        <v>43</v>
      </c>
      <c r="C14" s="4"/>
      <c r="D14" s="12">
        <v>43300000</v>
      </c>
      <c r="E14" s="12">
        <v>54600000</v>
      </c>
      <c r="F14" s="12">
        <v>60800000</v>
      </c>
      <c r="G14" s="12">
        <v>152700000</v>
      </c>
      <c r="H14" s="12">
        <v>162600000</v>
      </c>
    </row>
    <row r="15" spans="1:8" x14ac:dyDescent="0.2">
      <c r="A15" s="4">
        <v>10</v>
      </c>
      <c r="B15" s="4" t="s">
        <v>94</v>
      </c>
      <c r="C15" s="4"/>
      <c r="D15" s="22">
        <v>730000000</v>
      </c>
      <c r="E15" s="22">
        <v>1021400000</v>
      </c>
      <c r="F15" s="22">
        <v>969900000</v>
      </c>
      <c r="G15" s="22">
        <v>1435800000</v>
      </c>
      <c r="H15" s="22">
        <v>1680600000</v>
      </c>
    </row>
    <row r="16" spans="1:8" x14ac:dyDescent="0.2">
      <c r="A16" s="85">
        <v>11</v>
      </c>
      <c r="B16" s="86" t="s">
        <v>44</v>
      </c>
      <c r="C16" s="4" t="s">
        <v>45</v>
      </c>
      <c r="D16" s="6">
        <v>8.49</v>
      </c>
      <c r="E16" s="14">
        <v>14.36</v>
      </c>
      <c r="F16" s="6">
        <v>16.079999999999998</v>
      </c>
      <c r="G16" s="14">
        <v>20.61</v>
      </c>
      <c r="H16" s="6">
        <v>19.25</v>
      </c>
    </row>
    <row r="17" spans="1:8" x14ac:dyDescent="0.2">
      <c r="A17" s="85"/>
      <c r="B17" s="87"/>
      <c r="C17" s="4" t="s">
        <v>46</v>
      </c>
      <c r="D17" s="6">
        <v>8.48</v>
      </c>
      <c r="E17" s="6">
        <v>14.34</v>
      </c>
      <c r="F17" s="6">
        <v>16.07</v>
      </c>
      <c r="G17" s="6">
        <v>20.59</v>
      </c>
      <c r="H17" s="6">
        <v>19.239999999999998</v>
      </c>
    </row>
    <row r="18" spans="1:8" x14ac:dyDescent="0.2">
      <c r="A18" s="13"/>
      <c r="B18" s="15"/>
      <c r="C18" s="4"/>
      <c r="D18" s="4"/>
      <c r="E18" s="6"/>
      <c r="F18" s="4"/>
      <c r="G18" s="6"/>
      <c r="H18" s="4"/>
    </row>
    <row r="19" spans="1:8" x14ac:dyDescent="0.2">
      <c r="A19" s="44" t="s">
        <v>47</v>
      </c>
      <c r="B19" s="44" t="s">
        <v>48</v>
      </c>
      <c r="C19" s="44"/>
      <c r="D19" s="44">
        <v>2020</v>
      </c>
      <c r="E19" s="44">
        <v>2021</v>
      </c>
      <c r="F19" s="44">
        <v>2022</v>
      </c>
      <c r="G19" s="44">
        <v>2023</v>
      </c>
      <c r="H19" s="44">
        <v>2024</v>
      </c>
    </row>
    <row r="20" spans="1:8" x14ac:dyDescent="0.2">
      <c r="A20" s="4">
        <v>1</v>
      </c>
      <c r="B20" s="4" t="s">
        <v>49</v>
      </c>
      <c r="C20" s="4"/>
      <c r="D20" s="12">
        <v>27267400000</v>
      </c>
      <c r="E20" s="16">
        <v>30231000000</v>
      </c>
      <c r="F20" s="12">
        <v>36300400000</v>
      </c>
      <c r="G20" s="16">
        <v>39957500000</v>
      </c>
      <c r="H20" s="12">
        <v>48589600000</v>
      </c>
    </row>
    <row r="21" spans="1:8" x14ac:dyDescent="0.2">
      <c r="A21" s="4">
        <v>2</v>
      </c>
      <c r="B21" s="4" t="s">
        <v>50</v>
      </c>
      <c r="C21" s="4"/>
      <c r="D21" s="12">
        <v>13402000000</v>
      </c>
      <c r="E21" s="16">
        <v>20090400000</v>
      </c>
      <c r="F21" s="12">
        <v>27489600000</v>
      </c>
      <c r="G21" s="16">
        <v>26505100000</v>
      </c>
      <c r="H21" s="12">
        <v>30112800000</v>
      </c>
    </row>
    <row r="22" spans="1:8" x14ac:dyDescent="0.2">
      <c r="A22" s="4">
        <v>3</v>
      </c>
      <c r="B22" s="4" t="s">
        <v>51</v>
      </c>
      <c r="C22" s="4"/>
      <c r="D22" s="12">
        <v>13865400000</v>
      </c>
      <c r="E22" s="16">
        <v>10140600000</v>
      </c>
      <c r="F22" s="12">
        <v>8810800000</v>
      </c>
      <c r="G22" s="16">
        <v>13452400000</v>
      </c>
      <c r="H22" s="12">
        <v>18476800000</v>
      </c>
    </row>
    <row r="23" spans="1:8" x14ac:dyDescent="0.2">
      <c r="A23" s="4">
        <v>4</v>
      </c>
      <c r="B23" s="4" t="s">
        <v>52</v>
      </c>
      <c r="C23" s="4"/>
      <c r="D23" s="12">
        <v>6049400000</v>
      </c>
      <c r="E23" s="16">
        <v>6951800000</v>
      </c>
      <c r="F23" s="12">
        <v>7268300000</v>
      </c>
      <c r="G23" s="16">
        <v>7004700000</v>
      </c>
      <c r="H23" s="12">
        <v>12735900000</v>
      </c>
    </row>
    <row r="24" spans="1:8" x14ac:dyDescent="0.2">
      <c r="A24" s="4">
        <v>5</v>
      </c>
      <c r="B24" s="4" t="s">
        <v>53</v>
      </c>
      <c r="C24" s="4"/>
      <c r="D24" s="17">
        <v>4678200000</v>
      </c>
      <c r="E24" s="16">
        <v>4584100000</v>
      </c>
      <c r="F24" s="12">
        <v>4260400000</v>
      </c>
      <c r="G24" s="16">
        <v>4631600000</v>
      </c>
      <c r="H24" s="12">
        <v>4687600000</v>
      </c>
    </row>
    <row r="25" spans="1:8" x14ac:dyDescent="0.2">
      <c r="A25" s="4">
        <v>6</v>
      </c>
      <c r="B25" s="4" t="s">
        <v>54</v>
      </c>
      <c r="C25" s="4"/>
      <c r="D25" s="12">
        <v>4569400000</v>
      </c>
      <c r="E25" s="16">
        <v>5179200000</v>
      </c>
      <c r="F25" s="12">
        <v>7199700000</v>
      </c>
      <c r="G25" s="16">
        <v>8850700000</v>
      </c>
      <c r="H25" s="12">
        <v>10891500000</v>
      </c>
    </row>
    <row r="26" spans="1:8" x14ac:dyDescent="0.2">
      <c r="A26" s="4">
        <v>7</v>
      </c>
      <c r="B26" s="4" t="s">
        <v>55</v>
      </c>
      <c r="C26" s="4"/>
      <c r="D26" s="12">
        <v>3421300000</v>
      </c>
      <c r="E26" s="16">
        <v>4556900000</v>
      </c>
      <c r="F26" s="12">
        <v>7047000000</v>
      </c>
      <c r="G26" s="16">
        <v>7256800000</v>
      </c>
      <c r="H26" s="12">
        <v>5443400000</v>
      </c>
    </row>
    <row r="27" spans="1:8" x14ac:dyDescent="0.2">
      <c r="A27" s="4">
        <v>8</v>
      </c>
      <c r="B27" s="4" t="s">
        <v>56</v>
      </c>
      <c r="C27" s="4"/>
      <c r="D27" s="12">
        <v>2815200000</v>
      </c>
      <c r="E27" s="16">
        <v>3147500000</v>
      </c>
      <c r="F27" s="12">
        <v>4136900000</v>
      </c>
      <c r="G27" s="16">
        <v>5799800000</v>
      </c>
      <c r="H27" s="12">
        <v>7234000000</v>
      </c>
    </row>
    <row r="28" spans="1:8" x14ac:dyDescent="0.2">
      <c r="A28" s="4">
        <v>9</v>
      </c>
      <c r="B28" s="4" t="s">
        <v>57</v>
      </c>
      <c r="C28" s="4"/>
      <c r="D28" s="12">
        <v>4629100000</v>
      </c>
      <c r="E28" s="16">
        <v>4555600000</v>
      </c>
      <c r="F28" s="12">
        <v>4555600000</v>
      </c>
      <c r="G28" s="16">
        <v>4588600000</v>
      </c>
      <c r="H28" s="12">
        <v>4588600000</v>
      </c>
    </row>
    <row r="29" spans="1:8" x14ac:dyDescent="0.2">
      <c r="A29" s="4"/>
      <c r="B29" s="4"/>
      <c r="C29" s="4"/>
      <c r="D29" s="4"/>
      <c r="E29" s="18"/>
      <c r="F29" s="4"/>
      <c r="G29" s="18"/>
      <c r="H29" s="4"/>
    </row>
    <row r="30" spans="1:8" x14ac:dyDescent="0.2">
      <c r="A30" s="45" t="s">
        <v>58</v>
      </c>
      <c r="B30" s="44" t="s">
        <v>59</v>
      </c>
      <c r="C30" s="44"/>
      <c r="D30" s="44">
        <v>2020</v>
      </c>
      <c r="E30" s="44">
        <v>2021</v>
      </c>
      <c r="F30" s="44">
        <v>2022</v>
      </c>
      <c r="G30" s="44">
        <v>2023</v>
      </c>
      <c r="H30" s="44">
        <v>2024</v>
      </c>
    </row>
    <row r="31" spans="1:8" x14ac:dyDescent="0.2">
      <c r="A31" s="4">
        <v>1</v>
      </c>
      <c r="B31" s="4" t="s">
        <v>60</v>
      </c>
      <c r="C31" s="4"/>
      <c r="D31" s="16">
        <v>4627600000</v>
      </c>
      <c r="E31" s="12">
        <v>10845800000</v>
      </c>
      <c r="F31" s="12">
        <v>8486800000</v>
      </c>
      <c r="G31" s="12">
        <v>5443400000</v>
      </c>
      <c r="H31" s="12">
        <v>11166200000</v>
      </c>
    </row>
    <row r="32" spans="1:8" x14ac:dyDescent="0.2">
      <c r="A32" s="4">
        <v>2</v>
      </c>
      <c r="B32" s="4" t="s">
        <v>61</v>
      </c>
      <c r="C32" s="4"/>
      <c r="D32" s="16">
        <v>-1000800000</v>
      </c>
      <c r="E32" s="12">
        <v>-940300000</v>
      </c>
      <c r="F32" s="12">
        <v>-1319300000</v>
      </c>
      <c r="G32" s="12">
        <v>-2196200000</v>
      </c>
      <c r="H32" s="12">
        <v>-2083100000</v>
      </c>
    </row>
    <row r="33" spans="1:8" x14ac:dyDescent="0.2">
      <c r="A33" s="4">
        <v>3</v>
      </c>
      <c r="B33" s="4" t="s">
        <v>62</v>
      </c>
      <c r="C33" s="4"/>
      <c r="D33" s="16">
        <v>3626800000</v>
      </c>
      <c r="E33" s="12">
        <v>9905500000</v>
      </c>
      <c r="F33" s="12">
        <v>7167500000</v>
      </c>
      <c r="G33" s="12">
        <v>3247200000</v>
      </c>
      <c r="H33" s="12">
        <v>9083100000</v>
      </c>
    </row>
    <row r="34" spans="1:8" x14ac:dyDescent="0.2">
      <c r="A34" s="4">
        <v>4</v>
      </c>
      <c r="B34" s="4" t="s">
        <v>133</v>
      </c>
      <c r="C34" s="4"/>
      <c r="D34" s="16">
        <v>531600000</v>
      </c>
      <c r="E34" s="54">
        <v>4892400000</v>
      </c>
      <c r="F34" s="54">
        <v>2441200000</v>
      </c>
      <c r="G34" s="54">
        <v>3663600000</v>
      </c>
      <c r="H34" s="54">
        <v>2053300000</v>
      </c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5" t="s">
        <v>63</v>
      </c>
      <c r="B36" s="44" t="s">
        <v>64</v>
      </c>
      <c r="C36" s="44"/>
      <c r="D36" s="44">
        <v>2020</v>
      </c>
      <c r="E36" s="44">
        <v>2021</v>
      </c>
      <c r="F36" s="44">
        <v>2022</v>
      </c>
      <c r="G36" s="44">
        <v>2023</v>
      </c>
      <c r="H36" s="44">
        <v>2024</v>
      </c>
    </row>
    <row r="37" spans="1:8" x14ac:dyDescent="0.2">
      <c r="A37" s="4">
        <v>1</v>
      </c>
      <c r="B37" s="4" t="s">
        <v>65</v>
      </c>
      <c r="C37" s="4"/>
      <c r="D37" s="19">
        <v>416510000</v>
      </c>
      <c r="E37" s="4">
        <v>402601613</v>
      </c>
      <c r="F37" s="4">
        <v>394589411</v>
      </c>
      <c r="G37" s="4">
        <v>393421721</v>
      </c>
      <c r="H37" s="4">
        <v>393283720</v>
      </c>
    </row>
    <row r="38" spans="1:8" x14ac:dyDescent="0.2">
      <c r="A38" s="4">
        <v>2</v>
      </c>
      <c r="B38" s="4" t="s">
        <v>66</v>
      </c>
      <c r="C38" s="4"/>
      <c r="D38" s="12">
        <v>4542300000</v>
      </c>
      <c r="E38" s="12">
        <v>7231100000</v>
      </c>
      <c r="F38" s="12">
        <v>7100500000</v>
      </c>
      <c r="G38" s="12">
        <v>9976000000</v>
      </c>
      <c r="H38" s="12">
        <v>10123600000</v>
      </c>
    </row>
    <row r="39" spans="1:8" x14ac:dyDescent="0.2">
      <c r="A39" s="4">
        <v>3</v>
      </c>
      <c r="B39" s="4" t="s">
        <v>67</v>
      </c>
      <c r="C39" s="4"/>
      <c r="D39" s="20">
        <v>397.6</v>
      </c>
      <c r="E39" s="20">
        <v>706.7</v>
      </c>
      <c r="F39" s="20">
        <v>503.8</v>
      </c>
      <c r="G39" s="20">
        <v>681.7</v>
      </c>
      <c r="H39" s="20">
        <v>678.7</v>
      </c>
    </row>
    <row r="40" spans="1:8" x14ac:dyDescent="0.2">
      <c r="A40" s="4">
        <v>4</v>
      </c>
      <c r="B40" s="4" t="s">
        <v>68</v>
      </c>
      <c r="C40" s="4"/>
      <c r="D40" s="12">
        <v>164233176000</v>
      </c>
      <c r="E40" s="12">
        <v>282150859907.10004</v>
      </c>
      <c r="F40" s="12">
        <v>195786245261.80002</v>
      </c>
      <c r="G40" s="12">
        <f t="shared" ref="G40" si="0">(G37*G39)-G23+G24</f>
        <v>265822487205.70001</v>
      </c>
      <c r="H40" s="12">
        <v>258873360764.00003</v>
      </c>
    </row>
    <row r="41" spans="1:8" x14ac:dyDescent="0.2">
      <c r="A41" s="4">
        <v>5</v>
      </c>
      <c r="B41" s="4" t="s">
        <v>69</v>
      </c>
      <c r="C41" s="4"/>
      <c r="D41" s="12">
        <v>165604376000</v>
      </c>
      <c r="E41" s="12">
        <v>284518559907.10004</v>
      </c>
      <c r="F41" s="12">
        <v>198794145261.80002</v>
      </c>
      <c r="G41" s="12">
        <f t="shared" ref="G41" si="1">G37*G39</f>
        <v>268195587205.70001</v>
      </c>
      <c r="H41" s="12">
        <v>266921660764</v>
      </c>
    </row>
    <row r="42" spans="1:8" x14ac:dyDescent="0.2">
      <c r="A42" s="4">
        <v>6</v>
      </c>
      <c r="B42" s="4" t="s">
        <v>70</v>
      </c>
      <c r="C42" s="4"/>
      <c r="D42" s="6">
        <v>33.4</v>
      </c>
      <c r="E42" s="6">
        <v>46.226839135887914</v>
      </c>
      <c r="F42" s="6">
        <v>53.659321334398406</v>
      </c>
      <c r="G42" s="6">
        <f>G5/G37</f>
        <v>70.048242201655157</v>
      </c>
      <c r="H42" s="6">
        <v>71.863895103514579</v>
      </c>
    </row>
    <row r="44" spans="1:8" x14ac:dyDescent="0.2">
      <c r="A44" s="1"/>
      <c r="B44" s="36" t="s">
        <v>71</v>
      </c>
      <c r="C44" s="1"/>
      <c r="D44" s="1"/>
      <c r="E44" s="1"/>
      <c r="F44" s="1"/>
      <c r="G44" s="1"/>
      <c r="H44" s="1"/>
    </row>
    <row r="45" spans="1:8" x14ac:dyDescent="0.2">
      <c r="A45" s="37"/>
      <c r="B45" s="38" t="s">
        <v>72</v>
      </c>
      <c r="C45" s="37"/>
      <c r="D45" s="37"/>
      <c r="E45" s="37"/>
      <c r="F45" s="37"/>
      <c r="G45" s="37"/>
      <c r="H45" s="37"/>
    </row>
    <row r="47" spans="1:8" x14ac:dyDescent="0.2">
      <c r="A47" s="44" t="s">
        <v>36</v>
      </c>
      <c r="B47" s="45" t="s">
        <v>73</v>
      </c>
      <c r="C47" s="46"/>
      <c r="D47" s="44">
        <v>2020</v>
      </c>
      <c r="E47" s="44">
        <v>2021</v>
      </c>
      <c r="F47" s="44">
        <v>2022</v>
      </c>
      <c r="G47" s="44">
        <v>2023</v>
      </c>
      <c r="H47" s="44">
        <v>2024</v>
      </c>
    </row>
    <row r="48" spans="1:8" x14ac:dyDescent="0.2">
      <c r="A48" s="4">
        <v>1</v>
      </c>
      <c r="B48" s="4" t="s">
        <v>74</v>
      </c>
      <c r="C48" s="4"/>
      <c r="D48" s="7">
        <v>0.48626104374575241</v>
      </c>
      <c r="E48" s="7">
        <v>0.52705389285906179</v>
      </c>
      <c r="F48" s="7">
        <v>0.50535577658760522</v>
      </c>
      <c r="G48" s="7">
        <v>0.51294881796904768</v>
      </c>
      <c r="H48" s="7">
        <v>0.51275700653506895</v>
      </c>
    </row>
    <row r="49" spans="1:8" x14ac:dyDescent="0.2">
      <c r="A49" s="4">
        <v>2</v>
      </c>
      <c r="B49" s="4" t="s">
        <v>75</v>
      </c>
      <c r="C49" s="4"/>
      <c r="D49" s="7">
        <v>0.28983796544693635</v>
      </c>
      <c r="E49" s="7">
        <v>0.36323142227714794</v>
      </c>
      <c r="F49" s="7">
        <v>0.30778712913372441</v>
      </c>
      <c r="G49" s="7">
        <v>0.33514886514142644</v>
      </c>
      <c r="H49" s="7">
        <v>0.32569198489893109</v>
      </c>
    </row>
    <row r="50" spans="1:8" x14ac:dyDescent="0.2">
      <c r="A50" s="4">
        <v>3</v>
      </c>
      <c r="B50" s="4" t="s">
        <v>76</v>
      </c>
      <c r="C50" s="4"/>
      <c r="D50" s="7">
        <v>0.3249490288657581</v>
      </c>
      <c r="E50" s="7">
        <v>0.38853903605394657</v>
      </c>
      <c r="F50" s="7">
        <v>0.33535001464101183</v>
      </c>
      <c r="G50" s="7">
        <v>0.3619935772991999</v>
      </c>
      <c r="H50" s="7">
        <v>0.35819395744951865</v>
      </c>
    </row>
    <row r="51" spans="1:8" x14ac:dyDescent="0.2">
      <c r="A51" s="4">
        <v>4</v>
      </c>
      <c r="B51" s="4" t="s">
        <v>77</v>
      </c>
      <c r="C51" s="4"/>
      <c r="D51" s="7">
        <v>0.25422613298994884</v>
      </c>
      <c r="E51" s="7">
        <v>0.31611412605448391</v>
      </c>
      <c r="F51" s="7">
        <v>0.26562573795422556</v>
      </c>
      <c r="G51" s="7">
        <v>0.28444944391022736</v>
      </c>
      <c r="H51" s="7">
        <v>0.26789890634011371</v>
      </c>
    </row>
    <row r="52" spans="1:8" x14ac:dyDescent="0.2">
      <c r="A52" s="4"/>
      <c r="B52" s="4"/>
      <c r="C52" s="4"/>
      <c r="D52" s="4"/>
      <c r="E52" s="4"/>
      <c r="F52" s="4"/>
      <c r="G52" s="4"/>
      <c r="H52" s="4"/>
    </row>
    <row r="53" spans="1:8" x14ac:dyDescent="0.2">
      <c r="A53" s="41" t="s">
        <v>47</v>
      </c>
      <c r="B53" s="42" t="s">
        <v>78</v>
      </c>
      <c r="C53" s="41"/>
      <c r="D53" s="44">
        <v>2020</v>
      </c>
      <c r="E53" s="44">
        <v>2021</v>
      </c>
      <c r="F53" s="44">
        <v>2022</v>
      </c>
      <c r="G53" s="44">
        <v>2023</v>
      </c>
      <c r="H53" s="44">
        <v>2024</v>
      </c>
    </row>
    <row r="54" spans="1:8" x14ac:dyDescent="0.2">
      <c r="A54" s="21">
        <v>1</v>
      </c>
      <c r="B54" s="21" t="s">
        <v>79</v>
      </c>
      <c r="C54" s="21"/>
      <c r="D54" s="7">
        <v>1.0299187636219536</v>
      </c>
      <c r="E54" s="7">
        <v>0.6339422771086004</v>
      </c>
      <c r="F54" s="7">
        <v>0.60001408351524543</v>
      </c>
      <c r="G54" s="7">
        <v>0.46427425821972734</v>
      </c>
      <c r="H54" s="7">
        <v>0.463036864356553</v>
      </c>
    </row>
    <row r="55" spans="1:8" x14ac:dyDescent="0.2">
      <c r="A55" s="21">
        <v>2</v>
      </c>
      <c r="B55" s="21" t="s">
        <v>80</v>
      </c>
      <c r="C55" s="21"/>
      <c r="D55" s="4">
        <v>93.568129330254038</v>
      </c>
      <c r="E55" s="4">
        <v>123.81135531135531</v>
      </c>
      <c r="F55" s="4">
        <v>107.18585526315789</v>
      </c>
      <c r="G55" s="4">
        <v>60.485920104780618</v>
      </c>
      <c r="H55" s="4">
        <v>56.611316113161131</v>
      </c>
    </row>
    <row r="56" spans="1:8" x14ac:dyDescent="0.2">
      <c r="A56" s="21"/>
      <c r="B56" s="21"/>
      <c r="C56" s="21"/>
      <c r="D56" s="4"/>
      <c r="E56" s="4"/>
      <c r="F56" s="4"/>
      <c r="G56" s="4"/>
      <c r="H56" s="4"/>
    </row>
    <row r="57" spans="1:8" x14ac:dyDescent="0.2">
      <c r="A57" s="41" t="s">
        <v>58</v>
      </c>
      <c r="B57" s="42" t="s">
        <v>81</v>
      </c>
      <c r="C57" s="43"/>
      <c r="D57" s="44">
        <v>2020</v>
      </c>
      <c r="E57" s="44">
        <v>2021</v>
      </c>
      <c r="F57" s="44">
        <v>2022</v>
      </c>
      <c r="G57" s="44">
        <v>2023</v>
      </c>
      <c r="H57" s="44">
        <v>2024</v>
      </c>
    </row>
    <row r="58" spans="1:8" x14ac:dyDescent="0.2">
      <c r="A58" s="21">
        <v>1</v>
      </c>
      <c r="B58" s="21" t="s">
        <v>82</v>
      </c>
      <c r="C58" s="21"/>
      <c r="D58" s="7">
        <v>0.25945559251707978</v>
      </c>
      <c r="E58" s="7">
        <v>0.5322389984417818</v>
      </c>
      <c r="F58" s="7">
        <v>0.33851436236032001</v>
      </c>
      <c r="G58" s="7">
        <v>0.11782934484823195</v>
      </c>
      <c r="H58" s="7">
        <v>0.32137891016137765</v>
      </c>
    </row>
    <row r="59" spans="1:8" x14ac:dyDescent="0.2">
      <c r="A59" s="21">
        <v>2</v>
      </c>
      <c r="B59" s="21" t="s">
        <v>83</v>
      </c>
      <c r="C59" s="21"/>
      <c r="D59" s="7">
        <v>0.77525544012654435</v>
      </c>
      <c r="E59" s="7">
        <v>2.1608385506424379</v>
      </c>
      <c r="F59" s="7">
        <v>1.6823537695990987</v>
      </c>
      <c r="G59" s="7">
        <v>0.70109681319630368</v>
      </c>
      <c r="H59" s="7">
        <v>1.9376866626845295</v>
      </c>
    </row>
    <row r="60" spans="1:8" x14ac:dyDescent="0.2">
      <c r="A60" s="4"/>
      <c r="B60" s="4"/>
      <c r="C60" s="4"/>
      <c r="D60" s="4"/>
      <c r="E60" s="4"/>
      <c r="F60" s="4"/>
      <c r="G60" s="4"/>
      <c r="H60" s="4"/>
    </row>
    <row r="61" spans="1:8" x14ac:dyDescent="0.2">
      <c r="A61" s="41" t="s">
        <v>63</v>
      </c>
      <c r="B61" s="42" t="s">
        <v>10</v>
      </c>
      <c r="C61" s="43"/>
      <c r="D61" s="44">
        <v>2020</v>
      </c>
      <c r="E61" s="44">
        <v>2021</v>
      </c>
      <c r="F61" s="44">
        <v>2022</v>
      </c>
      <c r="G61" s="44">
        <v>2023</v>
      </c>
      <c r="H61" s="44">
        <v>2024</v>
      </c>
    </row>
    <row r="62" spans="1:8" x14ac:dyDescent="0.2">
      <c r="A62" s="21">
        <v>1</v>
      </c>
      <c r="B62" s="21" t="s">
        <v>84</v>
      </c>
      <c r="C62" s="21"/>
      <c r="D62" s="4">
        <v>46.886792452830186</v>
      </c>
      <c r="E62" s="4">
        <v>49.281729428172945</v>
      </c>
      <c r="F62" s="4">
        <v>31.35034225264468</v>
      </c>
      <c r="G62" s="4">
        <v>33.108305002428366</v>
      </c>
      <c r="H62" s="4">
        <v>35.275467775467781</v>
      </c>
    </row>
    <row r="63" spans="1:8" x14ac:dyDescent="0.2">
      <c r="A63" s="21">
        <v>2</v>
      </c>
      <c r="B63" s="21" t="s">
        <v>85</v>
      </c>
      <c r="C63" s="21"/>
      <c r="D63" s="4">
        <v>36.156391255531339</v>
      </c>
      <c r="E63" s="4">
        <v>39.019078688871687</v>
      </c>
      <c r="F63" s="4">
        <v>27.573585699852124</v>
      </c>
      <c r="G63" s="4">
        <v>26.646199599609062</v>
      </c>
      <c r="H63" s="4">
        <v>25.571275115966657</v>
      </c>
    </row>
    <row r="64" spans="1:8" x14ac:dyDescent="0.2">
      <c r="A64" s="21">
        <v>3</v>
      </c>
      <c r="B64" s="21" t="s">
        <v>86</v>
      </c>
      <c r="C64" s="4"/>
      <c r="D64" s="4">
        <v>40.536388004442799</v>
      </c>
      <c r="E64" s="4">
        <v>41.737675464431007</v>
      </c>
      <c r="F64" s="4">
        <v>30.042849401064927</v>
      </c>
      <c r="G64" s="4">
        <v>28.780503584342046</v>
      </c>
      <c r="H64" s="4">
        <v>28.123124471917439</v>
      </c>
    </row>
    <row r="65" spans="1:8" x14ac:dyDescent="0.2">
      <c r="A65" s="21">
        <v>4</v>
      </c>
      <c r="B65" s="21" t="s">
        <v>87</v>
      </c>
      <c r="C65" s="4"/>
      <c r="D65" s="4">
        <v>11.904191616766468</v>
      </c>
      <c r="E65" s="4">
        <v>15.287655682504971</v>
      </c>
      <c r="F65" s="4">
        <v>9.3888626891193656</v>
      </c>
      <c r="G65" s="4">
        <v>9.7318644775913068</v>
      </c>
      <c r="H65" s="4">
        <v>9.4442417715096472</v>
      </c>
    </row>
    <row r="66" spans="1:8" x14ac:dyDescent="0.2">
      <c r="A66" s="4"/>
      <c r="B66" s="4"/>
      <c r="C66" s="4"/>
      <c r="D66" s="4"/>
      <c r="E66" s="4"/>
      <c r="F66" s="4"/>
      <c r="G66" s="4"/>
      <c r="H66" s="4"/>
    </row>
    <row r="67" spans="1:8" x14ac:dyDescent="0.2">
      <c r="A67" s="39" t="s">
        <v>88</v>
      </c>
      <c r="B67" s="39" t="s">
        <v>89</v>
      </c>
      <c r="C67" s="39"/>
      <c r="D67" s="40">
        <v>2020</v>
      </c>
      <c r="E67" s="40">
        <v>2021</v>
      </c>
      <c r="F67" s="40">
        <v>2022</v>
      </c>
      <c r="G67" s="40">
        <v>2023</v>
      </c>
      <c r="H67" s="40">
        <v>2024</v>
      </c>
    </row>
    <row r="68" spans="1:8" x14ac:dyDescent="0.2">
      <c r="A68" s="21">
        <v>1</v>
      </c>
      <c r="B68" s="21" t="s">
        <v>90</v>
      </c>
      <c r="C68" s="21"/>
      <c r="D68" s="4" t="s">
        <v>91</v>
      </c>
      <c r="E68" s="7">
        <v>0.33140179561469402</v>
      </c>
      <c r="F68" s="7">
        <v>0.13768201601203589</v>
      </c>
      <c r="G68" s="7">
        <v>0.30156233765007034</v>
      </c>
      <c r="H68" s="7">
        <v>2.556017199775024E-2</v>
      </c>
    </row>
    <row r="69" spans="1:8" x14ac:dyDescent="0.2">
      <c r="A69" s="21">
        <v>2</v>
      </c>
      <c r="B69" s="21" t="s">
        <v>92</v>
      </c>
      <c r="C69" s="4"/>
      <c r="D69" s="4" t="s">
        <v>91</v>
      </c>
      <c r="E69" s="7">
        <v>0.59194681108689429</v>
      </c>
      <c r="F69" s="7">
        <v>-1.806087593865387E-2</v>
      </c>
      <c r="G69" s="7">
        <v>0.40497148088162804</v>
      </c>
      <c r="H69" s="7">
        <v>1.4795509222133119E-2</v>
      </c>
    </row>
    <row r="70" spans="1:8" x14ac:dyDescent="0.2">
      <c r="A70" s="21">
        <v>3</v>
      </c>
      <c r="B70" s="21" t="s">
        <v>93</v>
      </c>
      <c r="C70" s="4"/>
      <c r="D70" s="4" t="s">
        <v>91</v>
      </c>
      <c r="E70" s="7">
        <v>0.69103773584905648</v>
      </c>
      <c r="F70" s="7">
        <v>0.12064156206415624</v>
      </c>
      <c r="G70" s="7">
        <v>0.2812694461729931</v>
      </c>
      <c r="H70" s="7">
        <v>-6.5565808644973356E-2</v>
      </c>
    </row>
  </sheetData>
  <mergeCells count="2">
    <mergeCell ref="A16:A17"/>
    <mergeCell ref="B16:B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</vt:lpstr>
      <vt:lpstr>WACC</vt:lpstr>
      <vt:lpstr>Financials</vt:lpstr>
      <vt:lpstr>DCF!Print_Area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 R</dc:creator>
  <cp:lastModifiedBy>Savith R</cp:lastModifiedBy>
  <cp:lastPrinted>2025-12-18T15:22:25Z</cp:lastPrinted>
  <dcterms:created xsi:type="dcterms:W3CDTF">2025-12-11T20:47:57Z</dcterms:created>
  <dcterms:modified xsi:type="dcterms:W3CDTF">2025-12-18T17:01:47Z</dcterms:modified>
</cp:coreProperties>
</file>